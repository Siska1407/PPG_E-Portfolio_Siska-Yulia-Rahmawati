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<sst xmlns="http://schemas.openxmlformats.org/spreadsheetml/2006/main" count="1043" uniqueCount="235">
  <si>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</si>
  <si>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</si>
  <si>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</si>
  <si>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</si>
  <si>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</si>
  <si>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</si>
  <si>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</si>
  <si>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</si>
  <si>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</si>
  <si>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</si>
  <si>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</si>
  <si>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</si>
  <si>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Fungsi pada Ms. Excel yang digunakan untuk menjumlahkan data dengan syarat/kriteria tertentu adalah...</t>
  </si>
  <si>
    <t>Multiple Choice</t>
  </si>
  <si>
    <t>94%</t>
  </si>
  <si>
    <t>00:00:29</t>
  </si>
  <si>
    <t>Fungsi pada Ms. Excel yang digunakan untuk menghitung banyaknya data yang memenuhi kriteria tertentu adalah...</t>
  </si>
  <si>
    <t>Struktur penulisan fungsi COUNTIF yang benar adalah...</t>
  </si>
  <si>
    <t>00:00:26</t>
  </si>
  <si>
    <t>Struktur penulisan fungsi SUMIF yang benar adalah...</t>
  </si>
  <si>
    <t>00:00:33</t>
  </si>
  <si>
    <t>Kriteria yang berupa teks pada fungsi SUMIF dan COUNTIF harus diapit dengan tanda...</t>
  </si>
  <si>
    <t>00:00:17</t>
  </si>
  <si>
    <t>Perbedaan yang tepat antara fungsi SUM dan SUMIF adalah...</t>
  </si>
  <si>
    <t>00:00:10</t>
  </si>
  <si>
    <t>Sel C2:C11 berisi kategori barang dan sel D2:D11 berisi jumlah terjual. Rumus untuk menjumlahkan jumlah terjual barang kategori ATK adalah...</t>
  </si>
  <si>
    <t>00:00:28</t>
  </si>
  <si>
    <t>Berdasarkan data pada soal nomor 7, rumus untuk menghitung banyaknya barang berkategori Minuman adalah...</t>
  </si>
  <si>
    <t>00:00:27</t>
  </si>
  <si>
    <t>Sel B2:B9 berisi data nilai: 70, 85, 90, 60, 75, 95, 80, 55. Hasil dari =COUNTIF(B2:B9,"&gt;=75") adalah...</t>
  </si>
  <si>
    <t>00:00:30</t>
  </si>
  <si>
    <t>Berdasarkan data pada soal nomor 9, hasil dari =COUNTIF(B2:B9,"&lt;70") adalah...</t>
  </si>
  <si>
    <t>88%</t>
  </si>
  <si>
    <t>Penulisan kriteria "lebih dari 80" pada fungsi COUNTIF yang benar adalah...</t>
  </si>
  <si>
    <t>00:00:18</t>
  </si>
  <si>
    <t>Jika jumlah baris pada range kriteria dan range jumlah pada fungsi SUMIF tidak sama, maka...</t>
  </si>
  <si>
    <t>00:00:12</t>
  </si>
  <si>
    <t>Rumus =COUNTIF(A2:A20,"Hadir") digunakan untuk...</t>
  </si>
  <si>
    <t>82%</t>
  </si>
  <si>
    <t>Dari tabel data kas seluruh kelas, seorang bendahara ingin mengetahui total kas yang dibayar kelas 8A saja. Fungsi yang paling tepat digunakan adalah...</t>
  </si>
  <si>
    <t>79%</t>
  </si>
  <si>
    <t>Guru ingin mengetahui berapa banyak murid yang berstatus "Belum Lunas" pada tabel pembayaran. Fungsi yang paling tepat digunakan adalah...</t>
  </si>
  <si>
    <t>00:00:13</t>
  </si>
  <si>
    <t>Tanda pemisah antar argumen di dalam rumus Excel dapat berupa...</t>
  </si>
  <si>
    <t>00:00:06</t>
  </si>
  <si>
    <t>Tabel penjualan memuat kategori Makanan dengan jumlah terjual 30, 20, dan 18. Hasil dari =SUMIF(C2:C11,"Makanan",D2:D11) adalah...</t>
  </si>
  <si>
    <t>67%</t>
  </si>
  <si>
    <t>00:00:15</t>
  </si>
  <si>
    <t>Penulisan =COUNTIF(C2:C11,ATK) tanpa tanda petik dua pada kriteria teks akan menyebabkan...</t>
  </si>
  <si>
    <t>70%</t>
  </si>
  <si>
    <t>00:00:08</t>
  </si>
  <si>
    <t>Kelebihan menggunakan SUMIF dan COUNTIF dibandingkan menghitung data berkategori satu per satu adalah...</t>
  </si>
  <si>
    <t>00:00:04</t>
  </si>
  <si>
    <t>Contoh penerapan fungsi COUNTIF dalam kehidupan sehari-hari adalah...</t>
  </si>
  <si>
    <t xml:space="preserve">Azzahra Kayla Putri Aryanti (Kayla A) </t>
  </si>
  <si>
    <t xml:space="preserve">dirga putra widiyantoro (Arga Widiantoro) </t>
  </si>
  <si>
    <t xml:space="preserve">Rizky fajar nur cahya (Rizky fajar nur cahya) </t>
  </si>
  <si>
    <t xml:space="preserve">agistira ratu a. 02 (raratutt ) </t>
  </si>
  <si>
    <t xml:space="preserve">Athar Fitzire ardianto (Athar F) </t>
  </si>
  <si>
    <t xml:space="preserve">Carolina christie  11 (Carolina christie) </t>
  </si>
  <si>
    <t xml:space="preserve">Faiza Nurin Azmi (Faiza N) </t>
  </si>
  <si>
    <t xml:space="preserve">Kenze.21 (Kenzien1gg3r R) </t>
  </si>
  <si>
    <t xml:space="preserve">Amanina Azka Rayya04 (Samudera Samudera) </t>
  </si>
  <si>
    <t xml:space="preserve">Bunga10 (Bunga 7D12) </t>
  </si>
  <si>
    <t xml:space="preserve">Bintang Jasa.B.S 09 (Bintang J) </t>
  </si>
  <si>
    <t xml:space="preserve">Oktavianus Pratama8+25 (Oktavianus Pratama) </t>
  </si>
  <si>
    <t xml:space="preserve">Isa Mega Putri (Isa m) </t>
  </si>
  <si>
    <t xml:space="preserve">Achmad Tsani Amrullah (Achmad Tsani Amrullah) </t>
  </si>
  <si>
    <t xml:space="preserve">Amora damaria Dwi Putri 05 (Amora Putri) </t>
  </si>
  <si>
    <t xml:space="preserve">Rizqita chika harsiwi27 (Rizqita K) </t>
  </si>
  <si>
    <t xml:space="preserve">Muhammad Alvano B.T (Alvano Triharto) </t>
  </si>
  <si>
    <t xml:space="preserve">Anindya Iva (Anindya I) </t>
  </si>
  <si>
    <t xml:space="preserve">Yosua  Aditya Antonius318H (Yosua Antonius) </t>
  </si>
  <si>
    <t xml:space="preserve">Sri Kusuma Natalia (Sri Kusuma Natalia) </t>
  </si>
  <si>
    <t xml:space="preserve">nadine rania z (zahrand zahrand) </t>
  </si>
  <si>
    <t xml:space="preserve">vony adelia (vny aja) </t>
  </si>
  <si>
    <t xml:space="preserve">m alif (Pradana Alif) </t>
  </si>
  <si>
    <t xml:space="preserve">Kaina Lailatul (Kaina Lailatul) </t>
  </si>
  <si>
    <t xml:space="preserve">Muhammad Haris20 (Muhammad H) </t>
  </si>
  <si>
    <t xml:space="preserve">ayudia nyak naifa (ayudia nyak naifa) </t>
  </si>
  <si>
    <t xml:space="preserve">Nadia Sheila Ramadani (Nadia S) </t>
  </si>
  <si>
    <t xml:space="preserve">Haidar Pratama (Haidar Pratama) </t>
  </si>
  <si>
    <t xml:space="preserve">Akbar Drajad Al Ghany (Akbar Akbar) </t>
  </si>
  <si>
    <t xml:space="preserve">Ninit bellian w (Ninit bellian w) </t>
  </si>
  <si>
    <t xml:space="preserve">moreno habrizi kiansyah17 (Izi Moreno) </t>
  </si>
  <si>
    <t xml:space="preserve">Athar F (Athar F) </t>
  </si>
  <si>
    <t xml:space="preserve">caroline  11 (caroline  11) </t>
  </si>
  <si>
    <t>SUMIF</t>
  </si>
  <si>
    <t>COUNTIF</t>
  </si>
  <si>
    <t>petik dua (" ")</t>
  </si>
  <si>
    <t>SUM menjumlahkan seluruh data pada range, sedangkan SUMIF hanya menjumlahkan data yang memenuhi kriteria</t>
  </si>
  <si>
    <t>5</t>
  </si>
  <si>
    <t>2</t>
  </si>
  <si>
    <t>"&gt;80"</t>
  </si>
  <si>
    <t>hasil perhitungan dapat salah/tidak sesuai dengan data</t>
  </si>
  <si>
    <t>menghitung banyaknya sel yang berisi kata Hadir</t>
  </si>
  <si>
    <t>koma (,) atau titik koma (;) sesuai pengaturan komputer</t>
  </si>
  <si>
    <t>68</t>
  </si>
  <si>
    <t>hasil 0 atau pesan error karena ATK dianggap nama sel/range</t>
  </si>
  <si>
    <t>hasil diperoleh otomatis, cepat, dan ikut berubah saat data diperbarui</t>
  </si>
  <si>
    <t>menghitung jumlah siswa yang mendapat nilai ≥ 75</t>
  </si>
  <si>
    <t>130</t>
  </si>
  <si>
    <t>4</t>
  </si>
  <si>
    <t>&gt;80</t>
  </si>
  <si>
    <t>100%</t>
  </si>
  <si>
    <t>95%</t>
  </si>
  <si>
    <t>80%</t>
  </si>
  <si>
    <t>65%</t>
  </si>
  <si>
    <t>60%</t>
  </si>
  <si>
    <t>50%</t>
  </si>
  <si>
    <t>0%</t>
  </si>
  <si>
    <t>85%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</si>
  <si>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</si>
  <si>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</si>
  <si>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</si>
  <si>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</si>
  <si>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</si>
  <si>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</si>
  <si>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</si>
  <si>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</si>
  <si>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</si>
  <si>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</si>
  <si>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</si>
  <si>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</si>
  <si>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</si>
  <si>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</si>
  <si>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Kayla</t>
  </si>
  <si>
    <t>A</t>
  </si>
  <si>
    <t>Azzahra Kayla Putri Aryanti</t>
  </si>
  <si>
    <t>Tue 29 Sep 2026,11:31 AM</t>
  </si>
  <si>
    <t>Chrome Mobile on Android</t>
  </si>
  <si>
    <t>Arga</t>
  </si>
  <si>
    <t>Widiantoro</t>
  </si>
  <si>
    <t>dirga putra widiyantoro</t>
  </si>
  <si>
    <t>Rizky</t>
  </si>
  <si>
    <t>fajar nur cahya</t>
  </si>
  <si>
    <t>Rizky fajar nur cahya</t>
  </si>
  <si>
    <t>raratutt</t>
  </si>
  <si>
    <t>agistira ratu a. 02</t>
  </si>
  <si>
    <t>Athar</t>
  </si>
  <si>
    <t>F</t>
  </si>
  <si>
    <t>Athar Fitzire ardianto</t>
  </si>
  <si>
    <t>Carolina</t>
  </si>
  <si>
    <t>christie</t>
  </si>
  <si>
    <t>Carolina christie  11</t>
  </si>
  <si>
    <t>Faiza</t>
  </si>
  <si>
    <t>N</t>
  </si>
  <si>
    <t>Faiza Nurin Azmi</t>
  </si>
  <si>
    <t>Kenzien1gg3r</t>
  </si>
  <si>
    <t>R</t>
  </si>
  <si>
    <t>Kenze.21</t>
  </si>
  <si>
    <t>Chrome on Windows</t>
  </si>
  <si>
    <t>Samudera</t>
  </si>
  <si>
    <t>Amanina Azka Rayya04</t>
  </si>
  <si>
    <t>Bunga</t>
  </si>
  <si>
    <t>7D12</t>
  </si>
  <si>
    <t>Bunga10</t>
  </si>
  <si>
    <t>Bintang</t>
  </si>
  <si>
    <t>J</t>
  </si>
  <si>
    <t>Bintang Jasa.B.S 09</t>
  </si>
  <si>
    <t>Oktavianus</t>
  </si>
  <si>
    <t>Pratama</t>
  </si>
  <si>
    <t>Oktavianus Pratama8+25</t>
  </si>
  <si>
    <t>Isa</t>
  </si>
  <si>
    <t>m</t>
  </si>
  <si>
    <t>Isa Mega Putri</t>
  </si>
  <si>
    <t>Achmad</t>
  </si>
  <si>
    <t>Tsani Amrullah</t>
  </si>
  <si>
    <t>Achmad Tsani Amrullah</t>
  </si>
  <si>
    <t>Amora</t>
  </si>
  <si>
    <t>Putri</t>
  </si>
  <si>
    <t>Amora damaria Dwi Putri 05</t>
  </si>
  <si>
    <t>Rizqita</t>
  </si>
  <si>
    <t>K</t>
  </si>
  <si>
    <t>Rizqita chika harsiwi27</t>
  </si>
  <si>
    <t>Alvano</t>
  </si>
  <si>
    <t>Triharto</t>
  </si>
  <si>
    <t>Muhammad Alvano B.T</t>
  </si>
  <si>
    <t>Anindya</t>
  </si>
  <si>
    <t>I</t>
  </si>
  <si>
    <t>Anindya Iva</t>
  </si>
  <si>
    <t>Yosua</t>
  </si>
  <si>
    <t>Antonius</t>
  </si>
  <si>
    <t>Yosua  Aditya Antonius318H</t>
  </si>
  <si>
    <t>Sri</t>
  </si>
  <si>
    <t>Kusuma Natalia</t>
  </si>
  <si>
    <t>Sri Kusuma Natalia</t>
  </si>
  <si>
    <t>zahrand</t>
  </si>
  <si>
    <t>nadine rania z</t>
  </si>
  <si>
    <t>Samsung Internet on Android</t>
  </si>
  <si>
    <t>vny</t>
  </si>
  <si>
    <t>aja</t>
  </si>
  <si>
    <t>vony adelia</t>
  </si>
  <si>
    <t>Pradana</t>
  </si>
  <si>
    <t>Alif</t>
  </si>
  <si>
    <t>m alif</t>
  </si>
  <si>
    <t>Kaina</t>
  </si>
  <si>
    <t>Lailatul</t>
  </si>
  <si>
    <t>Kaina Lailatul</t>
  </si>
  <si>
    <t>Muhammad</t>
  </si>
  <si>
    <t>H</t>
  </si>
  <si>
    <t>Muhammad Haris20</t>
  </si>
  <si>
    <t>ayudia</t>
  </si>
  <si>
    <t>nyak naifa</t>
  </si>
  <si>
    <t>ayudia nyak naifa</t>
  </si>
  <si>
    <t>Mobile Safari on iOS</t>
  </si>
  <si>
    <t>Nadia</t>
  </si>
  <si>
    <t>S</t>
  </si>
  <si>
    <t>Nadia Sheila Ramadani</t>
  </si>
  <si>
    <t>Haidar</t>
  </si>
  <si>
    <t>Haidar Pratama</t>
  </si>
  <si>
    <t>Akbar</t>
  </si>
  <si>
    <t>Akbar Drajad Al Ghany</t>
  </si>
  <si>
    <t>Ninit</t>
  </si>
  <si>
    <t>bellian w</t>
  </si>
  <si>
    <t>Ninit bellian w</t>
  </si>
  <si>
    <t>Izi</t>
  </si>
  <si>
    <t>Moreno</t>
  </si>
  <si>
    <t>moreno habrizi kiansyah17</t>
  </si>
  <si>
    <t>Athar F</t>
  </si>
  <si>
    <t>caroline</t>
  </si>
  <si>
    <t xml:space="preserve"> 11</t>
  </si>
  <si>
    <t>caroline  11</t>
  </si>
  <si>
    <t>00:03:28</t>
  </si>
  <si>
    <t>-</t>
  </si>
  <si>
    <t>Name</t>
  </si>
  <si>
    <t>Value</t>
  </si>
  <si>
    <t>Game Started On</t>
  </si>
  <si>
    <t>Game Type</t>
  </si>
  <si>
    <t>Report</t>
  </si>
  <si>
    <t>Participants</t>
  </si>
  <si>
    <t>Total Attempts</t>
  </si>
  <si>
    <t>Class Accuracy</t>
  </si>
  <si>
    <t>Game Ends On</t>
  </si>
  <si>
    <t>Tue 29 Sep 2026,11:41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</si>
</sst>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top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35</xdr:row>
      <xdr:rowOff>95250</xdr:rowOff>
    </xdr:from>
    <xdr:to>
      <xdr:col>2</xdr:col>
      <xdr:colOff>108625</xdr:colOff>
      <xdr:row>38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89630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45" width="12.7109375" customWidth="1"/>
  </cols>
  <sheetData>
    <row r="1" spans="1:4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66</v>
      </c>
      <c r="Z1" s="3" t="s">
        <v>67</v>
      </c>
      <c r="AA1" s="3" t="s">
        <v>68</v>
      </c>
      <c r="AB1" s="3" t="s">
        <v>69</v>
      </c>
      <c r="AC1" s="3" t="s">
        <v>70</v>
      </c>
      <c r="AD1" s="3" t="s">
        <v>71</v>
      </c>
      <c r="AE1" s="3" t="s">
        <v>72</v>
      </c>
      <c r="AF1" s="3" t="s">
        <v>73</v>
      </c>
      <c r="AG1" s="3" t="s">
        <v>74</v>
      </c>
      <c r="AH1" s="3" t="s">
        <v>75</v>
      </c>
      <c r="AI1" s="3" t="s">
        <v>76</v>
      </c>
      <c r="AJ1" s="3" t="s">
        <v>77</v>
      </c>
      <c r="AK1" s="3" t="s">
        <v>78</v>
      </c>
      <c r="AL1" s="3" t="s">
        <v>79</v>
      </c>
      <c r="AM1" s="3" t="s">
        <v>80</v>
      </c>
      <c r="AN1" s="3" t="s">
        <v>81</v>
      </c>
      <c r="AO1" s="3" t="s">
        <v>82</v>
      </c>
      <c r="AP1" s="3" t="s">
        <v>83</v>
      </c>
      <c r="AQ1" s="3" t="s">
        <v>84</v>
      </c>
      <c r="AR1" s="3" t="s">
        <v>85</v>
      </c>
      <c r="AS1" s="3" t="s">
        <v>86</v>
      </c>
    </row>
    <row r="2" spans="1:45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31</v>
      </c>
      <c r="H2" s="7">
        <v>0</v>
      </c>
      <c r="I2" s="7">
        <v>0</v>
      </c>
      <c r="J2" s="7">
        <v>0</v>
      </c>
      <c r="K2" s="7">
        <v>0</v>
      </c>
      <c r="L2" s="7">
        <v>2</v>
      </c>
      <c r="M2" s="10" t="s">
        <v>87</v>
      </c>
      <c r="N2" s="10" t="s">
        <v>87</v>
      </c>
      <c r="O2" s="10" t="s">
        <v>87</v>
      </c>
      <c r="P2" s="10" t="s">
        <v>87</v>
      </c>
      <c r="Q2" s="10" t="s">
        <v>87</v>
      </c>
      <c r="R2" s="10" t="s">
        <v>87</v>
      </c>
      <c r="S2" s="10" t="s">
        <v>87</v>
      </c>
      <c r="T2" s="10" t="s">
        <v>87</v>
      </c>
      <c r="U2" s="10" t="s">
        <v>87</v>
      </c>
      <c r="V2" s="10" t="s">
        <v>87</v>
      </c>
      <c r="W2" s="10" t="s">
        <v>87</v>
      </c>
      <c r="X2" s="10" t="s">
        <v>87</v>
      </c>
      <c r="Y2" s="10" t="s">
        <v>87</v>
      </c>
      <c r="Z2" s="10" t="s">
        <v>87</v>
      </c>
      <c r="AA2" s="10" t="s">
        <v>87</v>
      </c>
      <c r="AB2" s="10" t="s">
        <v>87</v>
      </c>
      <c r="AC2" s="10" t="s">
        <v>87</v>
      </c>
      <c r="AD2" s="10" t="s">
        <v>87</v>
      </c>
      <c r="AE2" s="10" t="s">
        <v>87</v>
      </c>
      <c r="AF2" s="10" t="s">
        <v>87</v>
      </c>
      <c r="AG2" s="10" t="s">
        <v>87</v>
      </c>
      <c r="AH2" s="10" t="s">
        <v>87</v>
      </c>
      <c r="AI2" s="10" t="s">
        <v>87</v>
      </c>
      <c r="AJ2" s="10" t="s">
        <v>87</v>
      </c>
      <c r="AK2" s="10" t="s">
        <v>87</v>
      </c>
      <c r="AL2" s="10" t="s">
        <v>87</v>
      </c>
      <c r="AM2" s="10" t="s">
        <v>87</v>
      </c>
      <c r="AN2" s="10" t="s">
        <v>87</v>
      </c>
      <c r="AO2" s="10" t="s">
        <v>87</v>
      </c>
      <c r="AP2" s="10" t="s">
        <v>87</v>
      </c>
      <c r="AQ2" s="10" t="s">
        <v>87</v>
      </c>
      <c r="AR2" s="6"/>
      <c r="AS2" s="6"/>
    </row>
    <row r="3" spans="1:45" ht="20" customHeight="1">
      <c r="A3" s="11">
        <v>2</v>
      </c>
      <c r="B3" s="12" t="s">
        <v>16</v>
      </c>
      <c r="C3" s="11" t="s">
        <v>13</v>
      </c>
      <c r="D3" s="13"/>
      <c r="E3" s="11" t="s">
        <v>14</v>
      </c>
      <c r="F3" s="13" t="s">
        <v>15</v>
      </c>
      <c r="G3" s="11">
        <v>31</v>
      </c>
      <c r="H3" s="11">
        <v>0</v>
      </c>
      <c r="I3" s="11">
        <v>0</v>
      </c>
      <c r="J3" s="11">
        <v>0</v>
      </c>
      <c r="K3" s="11">
        <v>0</v>
      </c>
      <c r="L3" s="11">
        <v>2</v>
      </c>
      <c r="M3" s="10" t="s">
        <v>88</v>
      </c>
      <c r="N3" s="10" t="s">
        <v>88</v>
      </c>
      <c r="O3" s="10" t="s">
        <v>88</v>
      </c>
      <c r="P3" s="10" t="s">
        <v>88</v>
      </c>
      <c r="Q3" s="10" t="s">
        <v>88</v>
      </c>
      <c r="R3" s="10" t="s">
        <v>88</v>
      </c>
      <c r="S3" s="10" t="s">
        <v>88</v>
      </c>
      <c r="T3" s="10" t="s">
        <v>88</v>
      </c>
      <c r="U3" s="10" t="s">
        <v>88</v>
      </c>
      <c r="V3" s="10" t="s">
        <v>88</v>
      </c>
      <c r="W3" s="10" t="s">
        <v>88</v>
      </c>
      <c r="X3" s="10" t="s">
        <v>88</v>
      </c>
      <c r="Y3" s="10" t="s">
        <v>88</v>
      </c>
      <c r="Z3" s="10" t="s">
        <v>88</v>
      </c>
      <c r="AA3" s="10" t="s">
        <v>88</v>
      </c>
      <c r="AB3" s="10" t="s">
        <v>88</v>
      </c>
      <c r="AC3" s="10" t="s">
        <v>88</v>
      </c>
      <c r="AD3" s="10" t="s">
        <v>88</v>
      </c>
      <c r="AE3" s="10" t="s">
        <v>88</v>
      </c>
      <c r="AF3" s="10" t="s">
        <v>88</v>
      </c>
      <c r="AG3" s="10" t="s">
        <v>88</v>
      </c>
      <c r="AH3" s="10" t="s">
        <v>88</v>
      </c>
      <c r="AI3" s="10" t="s">
        <v>88</v>
      </c>
      <c r="AJ3" s="10" t="s">
        <v>88</v>
      </c>
      <c r="AK3" s="10" t="s">
        <v>88</v>
      </c>
      <c r="AL3" s="10" t="s">
        <v>88</v>
      </c>
      <c r="AM3" s="10" t="s">
        <v>88</v>
      </c>
      <c r="AN3" s="10" t="s">
        <v>88</v>
      </c>
      <c r="AO3" s="10" t="s">
        <v>88</v>
      </c>
      <c r="AP3" s="10" t="s">
        <v>88</v>
      </c>
      <c r="AQ3" s="10" t="s">
        <v>88</v>
      </c>
      <c r="AR3" s="6"/>
      <c r="AS3" s="6"/>
    </row>
    <row r="4" spans="1:45" ht="20" customHeight="1">
      <c r="A4" s="7">
        <v>3</v>
      </c>
      <c r="B4" s="8" t="s">
        <v>17</v>
      </c>
      <c r="C4" s="7" t="s">
        <v>13</v>
      </c>
      <c r="D4" s="9"/>
      <c r="E4" s="7" t="s">
        <v>14</v>
      </c>
      <c r="F4" s="9" t="s">
        <v>18</v>
      </c>
      <c r="G4" s="7">
        <v>31</v>
      </c>
      <c r="H4" s="7">
        <v>0</v>
      </c>
      <c r="I4" s="7">
        <v>0</v>
      </c>
      <c r="J4" s="7">
        <v>0</v>
      </c>
      <c r="K4" s="7">
        <v>0</v>
      </c>
      <c r="L4" s="7">
        <v>2</v>
      </c>
      <c r="M4" s="10">
        <f>COUNTIF(range, kriteria)</f>
        <v>0</v>
      </c>
      <c r="N4" s="10">
        <f>COUNTIF(range, kriteria)</f>
        <v>0</v>
      </c>
      <c r="O4" s="10">
        <f>COUNTIF(range, kriteria)</f>
        <v>0</v>
      </c>
      <c r="P4" s="10">
        <f>COUNTIF(range, kriteria)</f>
        <v>0</v>
      </c>
      <c r="Q4" s="10">
        <f>COUNTIF(range, kriteria)</f>
        <v>0</v>
      </c>
      <c r="R4" s="10">
        <f>COUNTIF(range, kriteria)</f>
        <v>0</v>
      </c>
      <c r="S4" s="10">
        <f>COUNTIF(range, kriteria)</f>
        <v>0</v>
      </c>
      <c r="T4" s="10">
        <f>COUNTIF(range, kriteria)</f>
        <v>0</v>
      </c>
      <c r="U4" s="10">
        <f>COUNTIF(range, kriteria)</f>
        <v>0</v>
      </c>
      <c r="V4" s="10">
        <f>COUNTIF(range, kriteria)</f>
        <v>0</v>
      </c>
      <c r="W4" s="10">
        <f>COUNTIF(range, kriteria)</f>
        <v>0</v>
      </c>
      <c r="X4" s="10">
        <f>COUNTIF(range, kriteria)</f>
        <v>0</v>
      </c>
      <c r="Y4" s="10">
        <f>COUNTIF(range, kriteria)</f>
        <v>0</v>
      </c>
      <c r="Z4" s="10">
        <f>COUNTIF(range, kriteria)</f>
        <v>0</v>
      </c>
      <c r="AA4" s="10">
        <f>COUNTIF(range, kriteria)</f>
        <v>0</v>
      </c>
      <c r="AB4" s="10">
        <f>COUNTIF(range, kriteria)</f>
        <v>0</v>
      </c>
      <c r="AC4" s="10">
        <f>COUNTIF(range, kriteria)</f>
        <v>0</v>
      </c>
      <c r="AD4" s="10">
        <f>COUNTIF(range, kriteria)</f>
        <v>0</v>
      </c>
      <c r="AE4" s="10">
        <f>COUNTIF(range, kriteria)</f>
        <v>0</v>
      </c>
      <c r="AF4" s="10">
        <f>COUNTIF(range, kriteria)</f>
        <v>0</v>
      </c>
      <c r="AG4" s="10">
        <f>COUNTIF(range, kriteria)</f>
        <v>0</v>
      </c>
      <c r="AH4" s="10">
        <f>COUNTIF(range, kriteria)</f>
        <v>0</v>
      </c>
      <c r="AI4" s="10">
        <f>COUNTIF(range, kriteria)</f>
        <v>0</v>
      </c>
      <c r="AJ4" s="10">
        <f>COUNTIF(range, kriteria)</f>
        <v>0</v>
      </c>
      <c r="AK4" s="10">
        <f>COUNTIF(range, kriteria)</f>
        <v>0</v>
      </c>
      <c r="AL4" s="10">
        <f>COUNTIF(range, kriteria)</f>
        <v>0</v>
      </c>
      <c r="AM4" s="10">
        <f>COUNTIF(range, kriteria)</f>
        <v>0</v>
      </c>
      <c r="AN4" s="10">
        <f>COUNTIF(range, kriteria)</f>
        <v>0</v>
      </c>
      <c r="AO4" s="10">
        <f>COUNTIF(range, kriteria)</f>
        <v>0</v>
      </c>
      <c r="AP4" s="10">
        <f>COUNTIF(range, kriteria)</f>
        <v>0</v>
      </c>
      <c r="AQ4" s="10">
        <f>COUNTIF(range, kriteria)</f>
        <v>0</v>
      </c>
      <c r="AR4" s="6"/>
      <c r="AS4" s="6"/>
    </row>
    <row r="5" spans="1:45" ht="20" customHeight="1">
      <c r="A5" s="11">
        <v>4</v>
      </c>
      <c r="B5" s="12" t="s">
        <v>19</v>
      </c>
      <c r="C5" s="11" t="s">
        <v>13</v>
      </c>
      <c r="D5" s="13"/>
      <c r="E5" s="11" t="s">
        <v>14</v>
      </c>
      <c r="F5" s="13" t="s">
        <v>20</v>
      </c>
      <c r="G5" s="11">
        <v>31</v>
      </c>
      <c r="H5" s="11">
        <v>0</v>
      </c>
      <c r="I5" s="11">
        <v>0</v>
      </c>
      <c r="J5" s="11">
        <v>0</v>
      </c>
      <c r="K5" s="11">
        <v>0</v>
      </c>
      <c r="L5" s="11">
        <v>2</v>
      </c>
      <c r="M5" s="10">
        <f>SUMIF(range_kriteria, kriteria, range_jumlah)</f>
        <v>0</v>
      </c>
      <c r="N5" s="10">
        <f>SUMIF(range_kriteria, kriteria, range_jumlah)</f>
        <v>0</v>
      </c>
      <c r="O5" s="10">
        <f>SUMIF(range_kriteria, kriteria, range_jumlah)</f>
        <v>0</v>
      </c>
      <c r="P5" s="10">
        <f>SUMIF(range_kriteria, kriteria, range_jumlah)</f>
        <v>0</v>
      </c>
      <c r="Q5" s="10">
        <f>SUMIF(range_kriteria, kriteria, range_jumlah)</f>
        <v>0</v>
      </c>
      <c r="R5" s="10">
        <f>SUMIF(range_kriteria, kriteria, range_jumlah)</f>
        <v>0</v>
      </c>
      <c r="S5" s="10">
        <f>SUMIF(range_kriteria, kriteria, range_jumlah)</f>
        <v>0</v>
      </c>
      <c r="T5" s="10">
        <f>SUMIF(range_kriteria, kriteria, range_jumlah)</f>
        <v>0</v>
      </c>
      <c r="U5" s="10">
        <f>SUMIF(range_kriteria, kriteria, range_jumlah)</f>
        <v>0</v>
      </c>
      <c r="V5" s="10">
        <f>SUMIF(range_kriteria, kriteria, range_jumlah)</f>
        <v>0</v>
      </c>
      <c r="W5" s="10">
        <f>SUMIF(range_kriteria, kriteria, range_jumlah)</f>
        <v>0</v>
      </c>
      <c r="X5" s="10">
        <f>SUMIF(range_kriteria, kriteria, range_jumlah)</f>
        <v>0</v>
      </c>
      <c r="Y5" s="10">
        <f>SUMIF(range_kriteria, kriteria, range_jumlah)</f>
        <v>0</v>
      </c>
      <c r="Z5" s="10">
        <f>SUMIF(range_kriteria, kriteria, range_jumlah)</f>
        <v>0</v>
      </c>
      <c r="AA5" s="10">
        <f>SUMIF(range_kriteria, kriteria, range_jumlah)</f>
        <v>0</v>
      </c>
      <c r="AB5" s="10">
        <f>SUMIF(range_kriteria, kriteria, range_jumlah)</f>
        <v>0</v>
      </c>
      <c r="AC5" s="10">
        <f>SUMIF(range_kriteria, kriteria, range_jumlah)</f>
        <v>0</v>
      </c>
      <c r="AD5" s="10">
        <f>SUMIF(range_kriteria, kriteria, range_jumlah)</f>
        <v>0</v>
      </c>
      <c r="AE5" s="10">
        <f>SUMIF(range_kriteria, kriteria, range_jumlah)</f>
        <v>0</v>
      </c>
      <c r="AF5" s="10">
        <f>SUMIF(range_kriteria, kriteria, range_jumlah)</f>
        <v>0</v>
      </c>
      <c r="AG5" s="10">
        <f>SUMIF(range_kriteria, kriteria, range_jumlah)</f>
        <v>0</v>
      </c>
      <c r="AH5" s="10">
        <f>SUMIF(range_kriteria, kriteria, range_jumlah)</f>
        <v>0</v>
      </c>
      <c r="AI5" s="10">
        <f>SUMIF(range_kriteria, kriteria, range_jumlah)</f>
        <v>0</v>
      </c>
      <c r="AJ5" s="10">
        <f>SUMIF(range_kriteria, kriteria, range_jumlah)</f>
        <v>0</v>
      </c>
      <c r="AK5" s="10">
        <f>SUMIF(range_kriteria, kriteria, range_jumlah)</f>
        <v>0</v>
      </c>
      <c r="AL5" s="10">
        <f>SUMIF(range_kriteria, kriteria, range_jumlah)</f>
        <v>0</v>
      </c>
      <c r="AM5" s="10">
        <f>SUMIF(range_kriteria, kriteria, range_jumlah)</f>
        <v>0</v>
      </c>
      <c r="AN5" s="10">
        <f>SUMIF(range_kriteria, kriteria, range_jumlah)</f>
        <v>0</v>
      </c>
      <c r="AO5" s="10">
        <f>SUMIF(range_kriteria, kriteria, range_jumlah)</f>
        <v>0</v>
      </c>
      <c r="AP5" s="10">
        <f>SUMIF(range_kriteria, kriteria, range_jumlah)</f>
        <v>0</v>
      </c>
      <c r="AQ5" s="10">
        <f>SUMIF(range_kriteria, kriteria, range_jumlah)</f>
        <v>0</v>
      </c>
      <c r="AR5" s="6"/>
      <c r="AS5" s="6"/>
    </row>
    <row r="6" spans="1:45" ht="20" customHeight="1">
      <c r="A6" s="7">
        <v>5</v>
      </c>
      <c r="B6" s="8" t="s">
        <v>21</v>
      </c>
      <c r="C6" s="7" t="s">
        <v>13</v>
      </c>
      <c r="D6" s="9"/>
      <c r="E6" s="7" t="s">
        <v>14</v>
      </c>
      <c r="F6" s="9" t="s">
        <v>22</v>
      </c>
      <c r="G6" s="7">
        <v>31</v>
      </c>
      <c r="H6" s="7">
        <v>0</v>
      </c>
      <c r="I6" s="7">
        <v>0</v>
      </c>
      <c r="J6" s="7">
        <v>0</v>
      </c>
      <c r="K6" s="7">
        <v>0</v>
      </c>
      <c r="L6" s="7">
        <v>2</v>
      </c>
      <c r="M6" s="10" t="s">
        <v>89</v>
      </c>
      <c r="N6" s="10" t="s">
        <v>89</v>
      </c>
      <c r="O6" s="10" t="s">
        <v>89</v>
      </c>
      <c r="P6" s="10" t="s">
        <v>89</v>
      </c>
      <c r="Q6" s="10" t="s">
        <v>89</v>
      </c>
      <c r="R6" s="10" t="s">
        <v>89</v>
      </c>
      <c r="S6" s="10" t="s">
        <v>89</v>
      </c>
      <c r="T6" s="10" t="s">
        <v>89</v>
      </c>
      <c r="U6" s="10" t="s">
        <v>89</v>
      </c>
      <c r="V6" s="10" t="s">
        <v>89</v>
      </c>
      <c r="W6" s="10" t="s">
        <v>89</v>
      </c>
      <c r="X6" s="10" t="s">
        <v>89</v>
      </c>
      <c r="Y6" s="10" t="s">
        <v>89</v>
      </c>
      <c r="Z6" s="10" t="s">
        <v>89</v>
      </c>
      <c r="AA6" s="10" t="s">
        <v>89</v>
      </c>
      <c r="AB6" s="10" t="s">
        <v>89</v>
      </c>
      <c r="AC6" s="10" t="s">
        <v>89</v>
      </c>
      <c r="AD6" s="10" t="s">
        <v>89</v>
      </c>
      <c r="AE6" s="10" t="s">
        <v>89</v>
      </c>
      <c r="AF6" s="10" t="s">
        <v>89</v>
      </c>
      <c r="AG6" s="10" t="s">
        <v>89</v>
      </c>
      <c r="AH6" s="10" t="s">
        <v>89</v>
      </c>
      <c r="AI6" s="10" t="s">
        <v>89</v>
      </c>
      <c r="AJ6" s="10" t="s">
        <v>89</v>
      </c>
      <c r="AK6" s="10" t="s">
        <v>89</v>
      </c>
      <c r="AL6" s="10" t="s">
        <v>89</v>
      </c>
      <c r="AM6" s="10" t="s">
        <v>89</v>
      </c>
      <c r="AN6" s="10" t="s">
        <v>89</v>
      </c>
      <c r="AO6" s="10" t="s">
        <v>89</v>
      </c>
      <c r="AP6" s="10" t="s">
        <v>89</v>
      </c>
      <c r="AQ6" s="10" t="s">
        <v>89</v>
      </c>
      <c r="AR6" s="6"/>
      <c r="AS6" s="6"/>
    </row>
    <row r="7" spans="1:45" ht="20" customHeight="1">
      <c r="A7" s="11">
        <v>6</v>
      </c>
      <c r="B7" s="12" t="s">
        <v>23</v>
      </c>
      <c r="C7" s="11" t="s">
        <v>13</v>
      </c>
      <c r="D7" s="13"/>
      <c r="E7" s="11" t="s">
        <v>14</v>
      </c>
      <c r="F7" s="13" t="s">
        <v>24</v>
      </c>
      <c r="G7" s="11">
        <v>31</v>
      </c>
      <c r="H7" s="11">
        <v>0</v>
      </c>
      <c r="I7" s="11">
        <v>0</v>
      </c>
      <c r="J7" s="11">
        <v>0</v>
      </c>
      <c r="K7" s="11">
        <v>0</v>
      </c>
      <c r="L7" s="11">
        <v>2</v>
      </c>
      <c r="M7" s="10" t="s">
        <v>90</v>
      </c>
      <c r="N7" s="10" t="s">
        <v>90</v>
      </c>
      <c r="O7" s="10" t="s">
        <v>90</v>
      </c>
      <c r="P7" s="10" t="s">
        <v>90</v>
      </c>
      <c r="Q7" s="10" t="s">
        <v>90</v>
      </c>
      <c r="R7" s="10" t="s">
        <v>90</v>
      </c>
      <c r="S7" s="10" t="s">
        <v>90</v>
      </c>
      <c r="T7" s="10" t="s">
        <v>90</v>
      </c>
      <c r="U7" s="10" t="s">
        <v>90</v>
      </c>
      <c r="V7" s="10" t="s">
        <v>90</v>
      </c>
      <c r="W7" s="10" t="s">
        <v>90</v>
      </c>
      <c r="X7" s="10" t="s">
        <v>90</v>
      </c>
      <c r="Y7" s="10" t="s">
        <v>90</v>
      </c>
      <c r="Z7" s="10" t="s">
        <v>90</v>
      </c>
      <c r="AA7" s="10" t="s">
        <v>90</v>
      </c>
      <c r="AB7" s="10" t="s">
        <v>90</v>
      </c>
      <c r="AC7" s="10" t="s">
        <v>90</v>
      </c>
      <c r="AD7" s="10" t="s">
        <v>90</v>
      </c>
      <c r="AE7" s="10" t="s">
        <v>90</v>
      </c>
      <c r="AF7" s="10" t="s">
        <v>90</v>
      </c>
      <c r="AG7" s="10" t="s">
        <v>90</v>
      </c>
      <c r="AH7" s="10" t="s">
        <v>90</v>
      </c>
      <c r="AI7" s="10" t="s">
        <v>90</v>
      </c>
      <c r="AJ7" s="10" t="s">
        <v>90</v>
      </c>
      <c r="AK7" s="10" t="s">
        <v>90</v>
      </c>
      <c r="AL7" s="10" t="s">
        <v>90</v>
      </c>
      <c r="AM7" s="10" t="s">
        <v>90</v>
      </c>
      <c r="AN7" s="10" t="s">
        <v>90</v>
      </c>
      <c r="AO7" s="10" t="s">
        <v>90</v>
      </c>
      <c r="AP7" s="10" t="s">
        <v>90</v>
      </c>
      <c r="AQ7" s="10" t="s">
        <v>90</v>
      </c>
      <c r="AR7" s="6"/>
      <c r="AS7" s="6"/>
    </row>
    <row r="8" spans="1:45" ht="20" customHeight="1">
      <c r="A8" s="7">
        <v>7</v>
      </c>
      <c r="B8" s="8" t="s">
        <v>25</v>
      </c>
      <c r="C8" s="7" t="s">
        <v>13</v>
      </c>
      <c r="D8" s="9"/>
      <c r="E8" s="7" t="s">
        <v>14</v>
      </c>
      <c r="F8" s="9" t="s">
        <v>26</v>
      </c>
      <c r="G8" s="7">
        <v>31</v>
      </c>
      <c r="H8" s="7">
        <v>0</v>
      </c>
      <c r="I8" s="7">
        <v>0</v>
      </c>
      <c r="J8" s="7">
        <v>0</v>
      </c>
      <c r="K8" s="7">
        <v>0</v>
      </c>
      <c r="L8" s="7">
        <v>2</v>
      </c>
      <c r="M8" s="10">
        <f>SUMIF(C2:C11,"ATK",D2:D11)</f>
        <v>0</v>
      </c>
      <c r="N8" s="10">
        <f>SUMIF(C2:C11,"ATK",D2:D11)</f>
        <v>0</v>
      </c>
      <c r="O8" s="10">
        <f>SUMIF(C2:C11,"ATK",D2:D11)</f>
        <v>0</v>
      </c>
      <c r="P8" s="10">
        <f>SUMIF(C2:C11,"ATK",D2:D11)</f>
        <v>0</v>
      </c>
      <c r="Q8" s="10">
        <f>SUMIF(C2:C11,"ATK",D2:D11)</f>
        <v>0</v>
      </c>
      <c r="R8" s="10">
        <f>SUMIF(C2:C11,"ATK",D2:D11)</f>
        <v>0</v>
      </c>
      <c r="S8" s="10">
        <f>SUMIF(C2:C11,"ATK",D2:D11)</f>
        <v>0</v>
      </c>
      <c r="T8" s="10">
        <f>SUMIF(C2:C11,"ATK",D2:D11)</f>
        <v>0</v>
      </c>
      <c r="U8" s="10">
        <f>SUMIF(C2:C11,"ATK",D2:D11)</f>
        <v>0</v>
      </c>
      <c r="V8" s="10">
        <f>SUMIF(C2:C11,"ATK",D2:D11)</f>
        <v>0</v>
      </c>
      <c r="W8" s="10">
        <f>SUMIF(C2:C11,"ATK",D2:D11)</f>
        <v>0</v>
      </c>
      <c r="X8" s="10">
        <f>SUMIF(C2:C11,"ATK",D2:D11)</f>
        <v>0</v>
      </c>
      <c r="Y8" s="10">
        <f>SUMIF(C2:C11,"ATK",D2:D11)</f>
        <v>0</v>
      </c>
      <c r="Z8" s="10">
        <f>SUMIF(C2:C11,"ATK",D2:D11)</f>
        <v>0</v>
      </c>
      <c r="AA8" s="10">
        <f>SUMIF(C2:C11,"ATK",D2:D11)</f>
        <v>0</v>
      </c>
      <c r="AB8" s="10">
        <f>SUMIF(C2:C11,"ATK",D2:D11)</f>
        <v>0</v>
      </c>
      <c r="AC8" s="10">
        <f>SUMIF(C2:C11,"ATK",D2:D11)</f>
        <v>0</v>
      </c>
      <c r="AD8" s="10">
        <f>SUMIF(C2:C11,"ATK",D2:D11)</f>
        <v>0</v>
      </c>
      <c r="AE8" s="10">
        <f>SUMIF(C2:C11,"ATK",D2:D11)</f>
        <v>0</v>
      </c>
      <c r="AF8" s="10">
        <f>SUMIF(C2:C11,"ATK",D2:D11)</f>
        <v>0</v>
      </c>
      <c r="AG8" s="10">
        <f>SUMIF(C2:C11,"ATK",D2:D11)</f>
        <v>0</v>
      </c>
      <c r="AH8" s="10">
        <f>SUMIF(C2:C11,"ATK",D2:D11)</f>
        <v>0</v>
      </c>
      <c r="AI8" s="10">
        <f>SUMIF(C2:C11,"ATK",D2:D11)</f>
        <v>0</v>
      </c>
      <c r="AJ8" s="10">
        <f>SUMIF(C2:C11,"ATK",D2:D11)</f>
        <v>0</v>
      </c>
      <c r="AK8" s="10">
        <f>SUMIF(C2:C11,"ATK",D2:D11)</f>
        <v>0</v>
      </c>
      <c r="AL8" s="10">
        <f>SUMIF(C2:C11,"ATK",D2:D11)</f>
        <v>0</v>
      </c>
      <c r="AM8" s="10">
        <f>SUMIF(C2:C11,"ATK",D2:D11)</f>
        <v>0</v>
      </c>
      <c r="AN8" s="10">
        <f>SUMIF(C2:C11,"ATK",D2:D11)</f>
        <v>0</v>
      </c>
      <c r="AO8" s="10">
        <f>SUMIF(C2:C11,"ATK",D2:D11)</f>
        <v>0</v>
      </c>
      <c r="AP8" s="10">
        <f>SUMIF(C2:C11,"ATK",D2:D11)</f>
        <v>0</v>
      </c>
      <c r="AQ8" s="10">
        <f>SUMIF(C2:C11,"ATK",D2:D11)</f>
        <v>0</v>
      </c>
      <c r="AR8" s="6"/>
      <c r="AS8" s="6"/>
    </row>
    <row r="9" spans="1:45" ht="20" customHeight="1">
      <c r="A9" s="11">
        <v>8</v>
      </c>
      <c r="B9" s="12" t="s">
        <v>27</v>
      </c>
      <c r="C9" s="11" t="s">
        <v>13</v>
      </c>
      <c r="D9" s="13"/>
      <c r="E9" s="11" t="s">
        <v>14</v>
      </c>
      <c r="F9" s="13" t="s">
        <v>28</v>
      </c>
      <c r="G9" s="11">
        <v>31</v>
      </c>
      <c r="H9" s="11">
        <v>0</v>
      </c>
      <c r="I9" s="11">
        <v>0</v>
      </c>
      <c r="J9" s="11">
        <v>0</v>
      </c>
      <c r="K9" s="11">
        <v>0</v>
      </c>
      <c r="L9" s="11">
        <v>2</v>
      </c>
      <c r="M9" s="10">
        <f>COUNTIF(C2:C11,"Minuman")</f>
        <v>0</v>
      </c>
      <c r="N9" s="10">
        <f>COUNTIF(C2:C11,"Minuman")</f>
        <v>0</v>
      </c>
      <c r="O9" s="10">
        <f>COUNTIF(C2:C11,"Minuman")</f>
        <v>0</v>
      </c>
      <c r="P9" s="10">
        <f>COUNTIF(C2:C11,"Minuman")</f>
        <v>0</v>
      </c>
      <c r="Q9" s="10">
        <f>COUNTIF(C2:C11,"Minuman")</f>
        <v>0</v>
      </c>
      <c r="R9" s="10">
        <f>COUNTIF(C2:C11,"Minuman")</f>
        <v>0</v>
      </c>
      <c r="S9" s="10">
        <f>COUNTIF(C2:C11,"Minuman")</f>
        <v>0</v>
      </c>
      <c r="T9" s="10">
        <f>COUNTIF(C2:C11,"Minuman")</f>
        <v>0</v>
      </c>
      <c r="U9" s="10">
        <f>COUNTIF(C2:C11,"Minuman")</f>
        <v>0</v>
      </c>
      <c r="V9" s="10">
        <f>COUNTIF(C2:C11,"Minuman")</f>
        <v>0</v>
      </c>
      <c r="W9" s="10">
        <f>COUNTIF(C2:C11,"Minuman")</f>
        <v>0</v>
      </c>
      <c r="X9" s="10">
        <f>COUNTIF(C2:C11,"Minuman")</f>
        <v>0</v>
      </c>
      <c r="Y9" s="10">
        <f>COUNTIF(C2:C11,"Minuman")</f>
        <v>0</v>
      </c>
      <c r="Z9" s="10">
        <f>COUNTIF(C2:C11,"Minuman")</f>
        <v>0</v>
      </c>
      <c r="AA9" s="10">
        <f>COUNTIF(C2:C11,"Minuman")</f>
        <v>0</v>
      </c>
      <c r="AB9" s="10">
        <f>COUNTIF(C2:C11,"Minuman")</f>
        <v>0</v>
      </c>
      <c r="AC9" s="10">
        <f>COUNTIF(C2:C11,"Minuman")</f>
        <v>0</v>
      </c>
      <c r="AD9" s="10">
        <f>COUNTIF(C2:C11,"Minuman")</f>
        <v>0</v>
      </c>
      <c r="AE9" s="10">
        <f>COUNTIF(C2:C11,"Minuman")</f>
        <v>0</v>
      </c>
      <c r="AF9" s="10">
        <f>COUNTIF(C2:C11,"Minuman")</f>
        <v>0</v>
      </c>
      <c r="AG9" s="10">
        <f>COUNTIF(C2:C11,"Minuman")</f>
        <v>0</v>
      </c>
      <c r="AH9" s="10">
        <f>COUNTIF(C2:C11,"Minuman")</f>
        <v>0</v>
      </c>
      <c r="AI9" s="10">
        <f>COUNTIF(C2:C11,"Minuman")</f>
        <v>0</v>
      </c>
      <c r="AJ9" s="10">
        <f>COUNTIF(C2:C11,"Minuman")</f>
        <v>0</v>
      </c>
      <c r="AK9" s="10">
        <f>COUNTIF(C2:C11,"Minuman")</f>
        <v>0</v>
      </c>
      <c r="AL9" s="10">
        <f>COUNTIF(C2:C11,"Minuman")</f>
        <v>0</v>
      </c>
      <c r="AM9" s="10">
        <f>COUNTIF(C2:C11,"Minuman")</f>
        <v>0</v>
      </c>
      <c r="AN9" s="10">
        <f>COUNTIF(C2:C11,"Minuman")</f>
        <v>0</v>
      </c>
      <c r="AO9" s="10">
        <f>COUNTIF(C2:C11,"Minuman")</f>
        <v>0</v>
      </c>
      <c r="AP9" s="10">
        <f>COUNTIF(C2:C11,"Minuman")</f>
        <v>0</v>
      </c>
      <c r="AQ9" s="10">
        <f>COUNTIF(C2:C11,"Minuman")</f>
        <v>0</v>
      </c>
      <c r="AR9" s="6"/>
      <c r="AS9" s="6"/>
    </row>
    <row r="10" spans="1:45" ht="20" customHeight="1">
      <c r="A10" s="7">
        <v>9</v>
      </c>
      <c r="B10" s="8" t="s">
        <v>29</v>
      </c>
      <c r="C10" s="7" t="s">
        <v>13</v>
      </c>
      <c r="D10" s="9"/>
      <c r="E10" s="7" t="s">
        <v>14</v>
      </c>
      <c r="F10" s="9" t="s">
        <v>30</v>
      </c>
      <c r="G10" s="7">
        <v>31</v>
      </c>
      <c r="H10" s="7">
        <v>0</v>
      </c>
      <c r="I10" s="7">
        <v>0</v>
      </c>
      <c r="J10" s="7">
        <v>0</v>
      </c>
      <c r="K10" s="7">
        <v>0</v>
      </c>
      <c r="L10" s="7">
        <v>2</v>
      </c>
      <c r="M10" s="10" t="s">
        <v>91</v>
      </c>
      <c r="N10" s="10" t="s">
        <v>91</v>
      </c>
      <c r="O10" s="10" t="s">
        <v>91</v>
      </c>
      <c r="P10" s="10" t="s">
        <v>91</v>
      </c>
      <c r="Q10" s="10" t="s">
        <v>91</v>
      </c>
      <c r="R10" s="10" t="s">
        <v>91</v>
      </c>
      <c r="S10" s="10" t="s">
        <v>91</v>
      </c>
      <c r="T10" s="10" t="s">
        <v>91</v>
      </c>
      <c r="U10" s="10" t="s">
        <v>91</v>
      </c>
      <c r="V10" s="10" t="s">
        <v>91</v>
      </c>
      <c r="W10" s="10" t="s">
        <v>91</v>
      </c>
      <c r="X10" s="10" t="s">
        <v>91</v>
      </c>
      <c r="Y10" s="10" t="s">
        <v>91</v>
      </c>
      <c r="Z10" s="10" t="s">
        <v>91</v>
      </c>
      <c r="AA10" s="10" t="s">
        <v>91</v>
      </c>
      <c r="AB10" s="10" t="s">
        <v>91</v>
      </c>
      <c r="AC10" s="10" t="s">
        <v>91</v>
      </c>
      <c r="AD10" s="10" t="s">
        <v>91</v>
      </c>
      <c r="AE10" s="10" t="s">
        <v>91</v>
      </c>
      <c r="AF10" s="10" t="s">
        <v>91</v>
      </c>
      <c r="AG10" s="10" t="s">
        <v>91</v>
      </c>
      <c r="AH10" s="10" t="s">
        <v>91</v>
      </c>
      <c r="AI10" s="10" t="s">
        <v>91</v>
      </c>
      <c r="AJ10" s="10" t="s">
        <v>91</v>
      </c>
      <c r="AK10" s="10" t="s">
        <v>91</v>
      </c>
      <c r="AL10" s="10" t="s">
        <v>91</v>
      </c>
      <c r="AM10" s="10" t="s">
        <v>91</v>
      </c>
      <c r="AN10" s="10" t="s">
        <v>91</v>
      </c>
      <c r="AO10" s="10" t="s">
        <v>91</v>
      </c>
      <c r="AP10" s="10" t="s">
        <v>91</v>
      </c>
      <c r="AQ10" s="10" t="s">
        <v>91</v>
      </c>
      <c r="AR10" s="6"/>
      <c r="AS10" s="6"/>
    </row>
    <row r="11" spans="1:45" ht="20" customHeight="1">
      <c r="A11" s="11">
        <v>10</v>
      </c>
      <c r="B11" s="12" t="s">
        <v>31</v>
      </c>
      <c r="C11" s="11" t="s">
        <v>13</v>
      </c>
      <c r="D11" s="13"/>
      <c r="E11" s="11" t="s">
        <v>32</v>
      </c>
      <c r="F11" s="13" t="s">
        <v>26</v>
      </c>
      <c r="G11" s="11">
        <v>29</v>
      </c>
      <c r="H11" s="11">
        <v>0</v>
      </c>
      <c r="I11" s="11">
        <v>0</v>
      </c>
      <c r="J11" s="11">
        <v>2</v>
      </c>
      <c r="K11" s="11">
        <v>0</v>
      </c>
      <c r="L11" s="11">
        <v>2</v>
      </c>
      <c r="M11" s="10" t="s">
        <v>92</v>
      </c>
      <c r="N11" s="10" t="s">
        <v>92</v>
      </c>
      <c r="O11" s="10" t="s">
        <v>92</v>
      </c>
      <c r="P11" s="10" t="s">
        <v>92</v>
      </c>
      <c r="Q11" s="10" t="s">
        <v>92</v>
      </c>
      <c r="R11" s="10" t="s">
        <v>92</v>
      </c>
      <c r="S11" s="10" t="s">
        <v>92</v>
      </c>
      <c r="T11" s="10" t="s">
        <v>92</v>
      </c>
      <c r="U11" s="10" t="s">
        <v>92</v>
      </c>
      <c r="V11" s="10" t="s">
        <v>92</v>
      </c>
      <c r="W11" s="10" t="s">
        <v>92</v>
      </c>
      <c r="X11" s="10" t="s">
        <v>92</v>
      </c>
      <c r="Y11" s="10" t="s">
        <v>92</v>
      </c>
      <c r="Z11" s="10" t="s">
        <v>92</v>
      </c>
      <c r="AA11" s="10" t="s">
        <v>92</v>
      </c>
      <c r="AB11" s="10" t="s">
        <v>92</v>
      </c>
      <c r="AC11" s="10" t="s">
        <v>92</v>
      </c>
      <c r="AD11" s="10" t="s">
        <v>92</v>
      </c>
      <c r="AE11" s="10" t="s">
        <v>92</v>
      </c>
      <c r="AF11" s="10" t="s">
        <v>92</v>
      </c>
      <c r="AG11" s="10" t="s">
        <v>92</v>
      </c>
      <c r="AH11" s="10" t="s">
        <v>92</v>
      </c>
      <c r="AI11" s="10" t="s">
        <v>92</v>
      </c>
      <c r="AJ11" s="10" t="s">
        <v>92</v>
      </c>
      <c r="AK11" s="10" t="s">
        <v>92</v>
      </c>
      <c r="AL11" s="10" t="s">
        <v>92</v>
      </c>
      <c r="AM11" s="10" t="s">
        <v>92</v>
      </c>
      <c r="AN11" s="10" t="s">
        <v>92</v>
      </c>
      <c r="AO11" s="10" t="s">
        <v>92</v>
      </c>
      <c r="AP11" s="14" t="s">
        <v>102</v>
      </c>
      <c r="AQ11" s="14" t="s">
        <v>102</v>
      </c>
      <c r="AR11" s="6"/>
      <c r="AS11" s="6"/>
    </row>
    <row r="12" spans="1:45" ht="20" customHeight="1">
      <c r="A12" s="7">
        <v>11</v>
      </c>
      <c r="B12" s="8" t="s">
        <v>33</v>
      </c>
      <c r="C12" s="7" t="s">
        <v>13</v>
      </c>
      <c r="D12" s="9"/>
      <c r="E12" s="7" t="s">
        <v>32</v>
      </c>
      <c r="F12" s="9" t="s">
        <v>34</v>
      </c>
      <c r="G12" s="7">
        <v>29</v>
      </c>
      <c r="H12" s="7">
        <v>0</v>
      </c>
      <c r="I12" s="7">
        <v>0</v>
      </c>
      <c r="J12" s="7">
        <v>2</v>
      </c>
      <c r="K12" s="7">
        <v>0</v>
      </c>
      <c r="L12" s="7">
        <v>2</v>
      </c>
      <c r="M12" s="10" t="s">
        <v>93</v>
      </c>
      <c r="N12" s="10" t="s">
        <v>93</v>
      </c>
      <c r="O12" s="10" t="s">
        <v>93</v>
      </c>
      <c r="P12" s="10" t="s">
        <v>93</v>
      </c>
      <c r="Q12" s="10" t="s">
        <v>93</v>
      </c>
      <c r="R12" s="10" t="s">
        <v>93</v>
      </c>
      <c r="S12" s="10" t="s">
        <v>93</v>
      </c>
      <c r="T12" s="10" t="s">
        <v>93</v>
      </c>
      <c r="U12" s="10" t="s">
        <v>93</v>
      </c>
      <c r="V12" s="10" t="s">
        <v>93</v>
      </c>
      <c r="W12" s="10" t="s">
        <v>93</v>
      </c>
      <c r="X12" s="10" t="s">
        <v>93</v>
      </c>
      <c r="Y12" s="10" t="s">
        <v>93</v>
      </c>
      <c r="Z12" s="10" t="s">
        <v>93</v>
      </c>
      <c r="AA12" s="10" t="s">
        <v>93</v>
      </c>
      <c r="AB12" s="10" t="s">
        <v>93</v>
      </c>
      <c r="AC12" s="10" t="s">
        <v>93</v>
      </c>
      <c r="AD12" s="10" t="s">
        <v>93</v>
      </c>
      <c r="AE12" s="10" t="s">
        <v>93</v>
      </c>
      <c r="AF12" s="10" t="s">
        <v>93</v>
      </c>
      <c r="AG12" s="10" t="s">
        <v>93</v>
      </c>
      <c r="AH12" s="10" t="s">
        <v>93</v>
      </c>
      <c r="AI12" s="10" t="s">
        <v>93</v>
      </c>
      <c r="AJ12" s="10" t="s">
        <v>93</v>
      </c>
      <c r="AK12" s="10" t="s">
        <v>93</v>
      </c>
      <c r="AL12" s="10" t="s">
        <v>93</v>
      </c>
      <c r="AM12" s="10" t="s">
        <v>93</v>
      </c>
      <c r="AN12" s="10" t="s">
        <v>93</v>
      </c>
      <c r="AO12" s="10" t="s">
        <v>93</v>
      </c>
      <c r="AP12" s="14" t="s">
        <v>103</v>
      </c>
      <c r="AQ12" s="14">
        <f>80</f>
        <v>0</v>
      </c>
      <c r="AR12" s="6"/>
      <c r="AS12" s="6"/>
    </row>
    <row r="13" spans="1:45" ht="20" customHeight="1">
      <c r="A13" s="11">
        <v>12</v>
      </c>
      <c r="B13" s="12" t="s">
        <v>35</v>
      </c>
      <c r="C13" s="11" t="s">
        <v>13</v>
      </c>
      <c r="D13" s="13"/>
      <c r="E13" s="11" t="s">
        <v>14</v>
      </c>
      <c r="F13" s="13" t="s">
        <v>36</v>
      </c>
      <c r="G13" s="11">
        <v>31</v>
      </c>
      <c r="H13" s="11">
        <v>0</v>
      </c>
      <c r="I13" s="11">
        <v>0</v>
      </c>
      <c r="J13" s="11">
        <v>0</v>
      </c>
      <c r="K13" s="11">
        <v>0</v>
      </c>
      <c r="L13" s="11">
        <v>2</v>
      </c>
      <c r="M13" s="10" t="s">
        <v>94</v>
      </c>
      <c r="N13" s="10" t="s">
        <v>94</v>
      </c>
      <c r="O13" s="10" t="s">
        <v>94</v>
      </c>
      <c r="P13" s="10" t="s">
        <v>94</v>
      </c>
      <c r="Q13" s="10" t="s">
        <v>94</v>
      </c>
      <c r="R13" s="10" t="s">
        <v>94</v>
      </c>
      <c r="S13" s="10" t="s">
        <v>94</v>
      </c>
      <c r="T13" s="10" t="s">
        <v>94</v>
      </c>
      <c r="U13" s="10" t="s">
        <v>94</v>
      </c>
      <c r="V13" s="10" t="s">
        <v>94</v>
      </c>
      <c r="W13" s="10" t="s">
        <v>94</v>
      </c>
      <c r="X13" s="10" t="s">
        <v>94</v>
      </c>
      <c r="Y13" s="10" t="s">
        <v>94</v>
      </c>
      <c r="Z13" s="10" t="s">
        <v>94</v>
      </c>
      <c r="AA13" s="10" t="s">
        <v>94</v>
      </c>
      <c r="AB13" s="10" t="s">
        <v>94</v>
      </c>
      <c r="AC13" s="10" t="s">
        <v>94</v>
      </c>
      <c r="AD13" s="10" t="s">
        <v>94</v>
      </c>
      <c r="AE13" s="10" t="s">
        <v>94</v>
      </c>
      <c r="AF13" s="10" t="s">
        <v>94</v>
      </c>
      <c r="AG13" s="10" t="s">
        <v>94</v>
      </c>
      <c r="AH13" s="10" t="s">
        <v>94</v>
      </c>
      <c r="AI13" s="10" t="s">
        <v>94</v>
      </c>
      <c r="AJ13" s="10" t="s">
        <v>94</v>
      </c>
      <c r="AK13" s="10" t="s">
        <v>94</v>
      </c>
      <c r="AL13" s="10" t="s">
        <v>94</v>
      </c>
      <c r="AM13" s="10" t="s">
        <v>94</v>
      </c>
      <c r="AN13" s="10" t="s">
        <v>94</v>
      </c>
      <c r="AO13" s="10" t="s">
        <v>94</v>
      </c>
      <c r="AP13" s="10" t="s">
        <v>94</v>
      </c>
      <c r="AQ13" s="10" t="s">
        <v>94</v>
      </c>
      <c r="AR13" s="6"/>
      <c r="AS13" s="6"/>
    </row>
    <row r="14" spans="1:45" ht="20" customHeight="1">
      <c r="A14" s="7">
        <v>13</v>
      </c>
      <c r="B14" s="8" t="s">
        <v>37</v>
      </c>
      <c r="C14" s="7" t="s">
        <v>13</v>
      </c>
      <c r="D14" s="9"/>
      <c r="E14" s="7" t="s">
        <v>38</v>
      </c>
      <c r="F14" s="9" t="s">
        <v>24</v>
      </c>
      <c r="G14" s="7">
        <v>27</v>
      </c>
      <c r="H14" s="7">
        <v>0</v>
      </c>
      <c r="I14" s="7">
        <v>0</v>
      </c>
      <c r="J14" s="7">
        <v>0</v>
      </c>
      <c r="K14" s="7">
        <v>0</v>
      </c>
      <c r="L14" s="7">
        <v>6</v>
      </c>
      <c r="M14" s="10" t="s">
        <v>95</v>
      </c>
      <c r="N14" s="10" t="s">
        <v>95</v>
      </c>
      <c r="O14" s="10" t="s">
        <v>95</v>
      </c>
      <c r="P14" s="10" t="s">
        <v>95</v>
      </c>
      <c r="Q14" s="10" t="s">
        <v>95</v>
      </c>
      <c r="R14" s="10" t="s">
        <v>95</v>
      </c>
      <c r="S14" s="10" t="s">
        <v>95</v>
      </c>
      <c r="T14" s="10" t="s">
        <v>95</v>
      </c>
      <c r="U14" s="10" t="s">
        <v>95</v>
      </c>
      <c r="V14" s="10" t="s">
        <v>95</v>
      </c>
      <c r="W14" s="10" t="s">
        <v>95</v>
      </c>
      <c r="X14" s="10" t="s">
        <v>95</v>
      </c>
      <c r="Y14" s="10" t="s">
        <v>95</v>
      </c>
      <c r="Z14" s="10" t="s">
        <v>95</v>
      </c>
      <c r="AA14" s="10" t="s">
        <v>95</v>
      </c>
      <c r="AB14" s="10" t="s">
        <v>95</v>
      </c>
      <c r="AC14" s="10" t="s">
        <v>95</v>
      </c>
      <c r="AD14" s="10" t="s">
        <v>95</v>
      </c>
      <c r="AE14" s="10" t="s">
        <v>95</v>
      </c>
      <c r="AF14" s="10" t="s">
        <v>95</v>
      </c>
      <c r="AG14" s="10" t="s">
        <v>95</v>
      </c>
      <c r="AH14" s="10" t="s">
        <v>95</v>
      </c>
      <c r="AI14" s="10" t="s">
        <v>95</v>
      </c>
      <c r="AJ14" s="10" t="s">
        <v>95</v>
      </c>
      <c r="AK14" s="10" t="s">
        <v>95</v>
      </c>
      <c r="AL14" s="10" t="s">
        <v>95</v>
      </c>
      <c r="AM14" s="10" t="s">
        <v>95</v>
      </c>
      <c r="AN14" s="6"/>
      <c r="AO14" s="6"/>
      <c r="AP14" s="6"/>
      <c r="AQ14" s="6"/>
      <c r="AR14" s="6"/>
      <c r="AS14" s="6"/>
    </row>
    <row r="15" spans="1:45" ht="20" customHeight="1">
      <c r="A15" s="11">
        <v>14</v>
      </c>
      <c r="B15" s="12" t="s">
        <v>39</v>
      </c>
      <c r="C15" s="11" t="s">
        <v>13</v>
      </c>
      <c r="D15" s="13"/>
      <c r="E15" s="11" t="s">
        <v>40</v>
      </c>
      <c r="F15" s="13" t="s">
        <v>34</v>
      </c>
      <c r="G15" s="11">
        <v>26</v>
      </c>
      <c r="H15" s="11">
        <v>0</v>
      </c>
      <c r="I15" s="11">
        <v>0</v>
      </c>
      <c r="J15" s="11">
        <v>0</v>
      </c>
      <c r="K15" s="11">
        <v>0</v>
      </c>
      <c r="L15" s="11">
        <v>7</v>
      </c>
      <c r="M15" s="10" t="s">
        <v>87</v>
      </c>
      <c r="N15" s="10" t="s">
        <v>87</v>
      </c>
      <c r="O15" s="10" t="s">
        <v>87</v>
      </c>
      <c r="P15" s="10" t="s">
        <v>87</v>
      </c>
      <c r="Q15" s="10" t="s">
        <v>87</v>
      </c>
      <c r="R15" s="10" t="s">
        <v>87</v>
      </c>
      <c r="S15" s="10" t="s">
        <v>87</v>
      </c>
      <c r="T15" s="10" t="s">
        <v>87</v>
      </c>
      <c r="U15" s="10" t="s">
        <v>87</v>
      </c>
      <c r="V15" s="10" t="s">
        <v>87</v>
      </c>
      <c r="W15" s="10" t="s">
        <v>87</v>
      </c>
      <c r="X15" s="10" t="s">
        <v>87</v>
      </c>
      <c r="Y15" s="10" t="s">
        <v>87</v>
      </c>
      <c r="Z15" s="10" t="s">
        <v>87</v>
      </c>
      <c r="AA15" s="10" t="s">
        <v>87</v>
      </c>
      <c r="AB15" s="10" t="s">
        <v>87</v>
      </c>
      <c r="AC15" s="10" t="s">
        <v>87</v>
      </c>
      <c r="AD15" s="10" t="s">
        <v>87</v>
      </c>
      <c r="AE15" s="10" t="s">
        <v>87</v>
      </c>
      <c r="AF15" s="10" t="s">
        <v>87</v>
      </c>
      <c r="AG15" s="10" t="s">
        <v>87</v>
      </c>
      <c r="AH15" s="10" t="s">
        <v>87</v>
      </c>
      <c r="AI15" s="10" t="s">
        <v>87</v>
      </c>
      <c r="AJ15" s="10" t="s">
        <v>87</v>
      </c>
      <c r="AK15" s="10" t="s">
        <v>87</v>
      </c>
      <c r="AL15" s="10" t="s">
        <v>87</v>
      </c>
      <c r="AM15" s="6"/>
      <c r="AN15" s="6"/>
      <c r="AO15" s="6"/>
      <c r="AP15" s="6"/>
      <c r="AQ15" s="6"/>
      <c r="AR15" s="6"/>
      <c r="AS15" s="6"/>
    </row>
    <row r="16" spans="1:45" ht="20" customHeight="1">
      <c r="A16" s="7">
        <v>15</v>
      </c>
      <c r="B16" s="8" t="s">
        <v>41</v>
      </c>
      <c r="C16" s="7" t="s">
        <v>13</v>
      </c>
      <c r="D16" s="9"/>
      <c r="E16" s="7" t="s">
        <v>40</v>
      </c>
      <c r="F16" s="9" t="s">
        <v>42</v>
      </c>
      <c r="G16" s="7">
        <v>26</v>
      </c>
      <c r="H16" s="7">
        <v>0</v>
      </c>
      <c r="I16" s="7">
        <v>0</v>
      </c>
      <c r="J16" s="7">
        <v>0</v>
      </c>
      <c r="K16" s="7">
        <v>0</v>
      </c>
      <c r="L16" s="7">
        <v>7</v>
      </c>
      <c r="M16" s="10" t="s">
        <v>88</v>
      </c>
      <c r="N16" s="10" t="s">
        <v>88</v>
      </c>
      <c r="O16" s="10" t="s">
        <v>88</v>
      </c>
      <c r="P16" s="10" t="s">
        <v>88</v>
      </c>
      <c r="Q16" s="10" t="s">
        <v>88</v>
      </c>
      <c r="R16" s="10" t="s">
        <v>88</v>
      </c>
      <c r="S16" s="10" t="s">
        <v>88</v>
      </c>
      <c r="T16" s="10" t="s">
        <v>88</v>
      </c>
      <c r="U16" s="10" t="s">
        <v>88</v>
      </c>
      <c r="V16" s="10" t="s">
        <v>88</v>
      </c>
      <c r="W16" s="10" t="s">
        <v>88</v>
      </c>
      <c r="X16" s="10" t="s">
        <v>88</v>
      </c>
      <c r="Y16" s="10" t="s">
        <v>88</v>
      </c>
      <c r="Z16" s="10" t="s">
        <v>88</v>
      </c>
      <c r="AA16" s="10" t="s">
        <v>88</v>
      </c>
      <c r="AB16" s="10" t="s">
        <v>88</v>
      </c>
      <c r="AC16" s="10" t="s">
        <v>88</v>
      </c>
      <c r="AD16" s="10" t="s">
        <v>88</v>
      </c>
      <c r="AE16" s="10" t="s">
        <v>88</v>
      </c>
      <c r="AF16" s="10" t="s">
        <v>88</v>
      </c>
      <c r="AG16" s="10" t="s">
        <v>88</v>
      </c>
      <c r="AH16" s="10" t="s">
        <v>88</v>
      </c>
      <c r="AI16" s="10" t="s">
        <v>88</v>
      </c>
      <c r="AJ16" s="10" t="s">
        <v>88</v>
      </c>
      <c r="AK16" s="10" t="s">
        <v>88</v>
      </c>
      <c r="AL16" s="10" t="s">
        <v>88</v>
      </c>
      <c r="AM16" s="6"/>
      <c r="AN16" s="6"/>
      <c r="AO16" s="6"/>
      <c r="AP16" s="6"/>
      <c r="AQ16" s="6"/>
      <c r="AR16" s="6"/>
      <c r="AS16" s="6"/>
    </row>
    <row r="17" spans="1:45" ht="20" customHeight="1">
      <c r="A17" s="11">
        <v>16</v>
      </c>
      <c r="B17" s="12" t="s">
        <v>43</v>
      </c>
      <c r="C17" s="11" t="s">
        <v>13</v>
      </c>
      <c r="D17" s="13"/>
      <c r="E17" s="11" t="s">
        <v>40</v>
      </c>
      <c r="F17" s="13" t="s">
        <v>44</v>
      </c>
      <c r="G17" s="11">
        <v>26</v>
      </c>
      <c r="H17" s="11">
        <v>0</v>
      </c>
      <c r="I17" s="11">
        <v>0</v>
      </c>
      <c r="J17" s="11">
        <v>0</v>
      </c>
      <c r="K17" s="11">
        <v>0</v>
      </c>
      <c r="L17" s="11">
        <v>7</v>
      </c>
      <c r="M17" s="10" t="s">
        <v>96</v>
      </c>
      <c r="N17" s="10" t="s">
        <v>96</v>
      </c>
      <c r="O17" s="10" t="s">
        <v>96</v>
      </c>
      <c r="P17" s="10" t="s">
        <v>96</v>
      </c>
      <c r="Q17" s="10" t="s">
        <v>96</v>
      </c>
      <c r="R17" s="10" t="s">
        <v>96</v>
      </c>
      <c r="S17" s="10" t="s">
        <v>96</v>
      </c>
      <c r="T17" s="10" t="s">
        <v>96</v>
      </c>
      <c r="U17" s="10" t="s">
        <v>96</v>
      </c>
      <c r="V17" s="10" t="s">
        <v>96</v>
      </c>
      <c r="W17" s="10" t="s">
        <v>96</v>
      </c>
      <c r="X17" s="10" t="s">
        <v>96</v>
      </c>
      <c r="Y17" s="10" t="s">
        <v>96</v>
      </c>
      <c r="Z17" s="10" t="s">
        <v>96</v>
      </c>
      <c r="AA17" s="10" t="s">
        <v>96</v>
      </c>
      <c r="AB17" s="10" t="s">
        <v>96</v>
      </c>
      <c r="AC17" s="10" t="s">
        <v>96</v>
      </c>
      <c r="AD17" s="10" t="s">
        <v>96</v>
      </c>
      <c r="AE17" s="10" t="s">
        <v>96</v>
      </c>
      <c r="AF17" s="10" t="s">
        <v>96</v>
      </c>
      <c r="AG17" s="10" t="s">
        <v>96</v>
      </c>
      <c r="AH17" s="10" t="s">
        <v>96</v>
      </c>
      <c r="AI17" s="10" t="s">
        <v>96</v>
      </c>
      <c r="AJ17" s="10" t="s">
        <v>96</v>
      </c>
      <c r="AK17" s="10" t="s">
        <v>96</v>
      </c>
      <c r="AL17" s="10" t="s">
        <v>96</v>
      </c>
      <c r="AM17" s="6"/>
      <c r="AN17" s="6"/>
      <c r="AO17" s="6"/>
      <c r="AP17" s="6"/>
      <c r="AQ17" s="6"/>
      <c r="AR17" s="6"/>
      <c r="AS17" s="6"/>
    </row>
    <row r="18" spans="1:45" ht="20" customHeight="1">
      <c r="A18" s="7">
        <v>17</v>
      </c>
      <c r="B18" s="8" t="s">
        <v>45</v>
      </c>
      <c r="C18" s="7" t="s">
        <v>13</v>
      </c>
      <c r="D18" s="9"/>
      <c r="E18" s="7" t="s">
        <v>46</v>
      </c>
      <c r="F18" s="9" t="s">
        <v>47</v>
      </c>
      <c r="G18" s="7">
        <v>22</v>
      </c>
      <c r="H18" s="7">
        <v>0</v>
      </c>
      <c r="I18" s="7">
        <v>0</v>
      </c>
      <c r="J18" s="7">
        <v>1</v>
      </c>
      <c r="K18" s="7">
        <v>0</v>
      </c>
      <c r="L18" s="7">
        <v>10</v>
      </c>
      <c r="M18" s="10" t="s">
        <v>97</v>
      </c>
      <c r="N18" s="10" t="s">
        <v>97</v>
      </c>
      <c r="O18" s="10" t="s">
        <v>97</v>
      </c>
      <c r="P18" s="10" t="s">
        <v>97</v>
      </c>
      <c r="Q18" s="10" t="s">
        <v>97</v>
      </c>
      <c r="R18" s="10" t="s">
        <v>97</v>
      </c>
      <c r="S18" s="10" t="s">
        <v>97</v>
      </c>
      <c r="T18" s="10" t="s">
        <v>97</v>
      </c>
      <c r="U18" s="10" t="s">
        <v>97</v>
      </c>
      <c r="V18" s="10" t="s">
        <v>97</v>
      </c>
      <c r="W18" s="10" t="s">
        <v>97</v>
      </c>
      <c r="X18" s="10" t="s">
        <v>97</v>
      </c>
      <c r="Y18" s="10" t="s">
        <v>97</v>
      </c>
      <c r="Z18" s="10" t="s">
        <v>97</v>
      </c>
      <c r="AA18" s="10" t="s">
        <v>97</v>
      </c>
      <c r="AB18" s="10" t="s">
        <v>97</v>
      </c>
      <c r="AC18" s="10" t="s">
        <v>97</v>
      </c>
      <c r="AD18" s="10" t="s">
        <v>97</v>
      </c>
      <c r="AE18" s="10" t="s">
        <v>97</v>
      </c>
      <c r="AF18" s="10" t="s">
        <v>97</v>
      </c>
      <c r="AG18" s="10" t="s">
        <v>97</v>
      </c>
      <c r="AH18" s="10" t="s">
        <v>97</v>
      </c>
      <c r="AI18" s="14" t="s">
        <v>101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spans="1:45" ht="20" customHeight="1">
      <c r="A19" s="11">
        <v>18</v>
      </c>
      <c r="B19" s="12" t="s">
        <v>48</v>
      </c>
      <c r="C19" s="11" t="s">
        <v>13</v>
      </c>
      <c r="D19" s="13"/>
      <c r="E19" s="11" t="s">
        <v>49</v>
      </c>
      <c r="F19" s="13" t="s">
        <v>50</v>
      </c>
      <c r="G19" s="11">
        <v>23</v>
      </c>
      <c r="H19" s="11">
        <v>0</v>
      </c>
      <c r="I19" s="11">
        <v>0</v>
      </c>
      <c r="J19" s="11">
        <v>0</v>
      </c>
      <c r="K19" s="11">
        <v>0</v>
      </c>
      <c r="L19" s="11">
        <v>10</v>
      </c>
      <c r="M19" s="10" t="s">
        <v>98</v>
      </c>
      <c r="N19" s="10" t="s">
        <v>98</v>
      </c>
      <c r="O19" s="10" t="s">
        <v>98</v>
      </c>
      <c r="P19" s="10" t="s">
        <v>98</v>
      </c>
      <c r="Q19" s="10" t="s">
        <v>98</v>
      </c>
      <c r="R19" s="10" t="s">
        <v>98</v>
      </c>
      <c r="S19" s="10" t="s">
        <v>98</v>
      </c>
      <c r="T19" s="10" t="s">
        <v>98</v>
      </c>
      <c r="U19" s="10" t="s">
        <v>98</v>
      </c>
      <c r="V19" s="10" t="s">
        <v>98</v>
      </c>
      <c r="W19" s="10" t="s">
        <v>98</v>
      </c>
      <c r="X19" s="10" t="s">
        <v>98</v>
      </c>
      <c r="Y19" s="10" t="s">
        <v>98</v>
      </c>
      <c r="Z19" s="10" t="s">
        <v>98</v>
      </c>
      <c r="AA19" s="10" t="s">
        <v>98</v>
      </c>
      <c r="AB19" s="10" t="s">
        <v>98</v>
      </c>
      <c r="AC19" s="10" t="s">
        <v>98</v>
      </c>
      <c r="AD19" s="10" t="s">
        <v>98</v>
      </c>
      <c r="AE19" s="10" t="s">
        <v>98</v>
      </c>
      <c r="AF19" s="10" t="s">
        <v>98</v>
      </c>
      <c r="AG19" s="10" t="s">
        <v>98</v>
      </c>
      <c r="AH19" s="10" t="s">
        <v>98</v>
      </c>
      <c r="AI19" s="10" t="s">
        <v>98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 spans="1:45" ht="20" customHeight="1">
      <c r="A20" s="7">
        <v>19</v>
      </c>
      <c r="B20" s="8" t="s">
        <v>51</v>
      </c>
      <c r="C20" s="7" t="s">
        <v>13</v>
      </c>
      <c r="D20" s="9"/>
      <c r="E20" s="7" t="s">
        <v>49</v>
      </c>
      <c r="F20" s="9" t="s">
        <v>52</v>
      </c>
      <c r="G20" s="7">
        <v>23</v>
      </c>
      <c r="H20" s="7">
        <v>0</v>
      </c>
      <c r="I20" s="7">
        <v>0</v>
      </c>
      <c r="J20" s="7">
        <v>0</v>
      </c>
      <c r="K20" s="7">
        <v>0</v>
      </c>
      <c r="L20" s="7">
        <v>10</v>
      </c>
      <c r="M20" s="10" t="s">
        <v>99</v>
      </c>
      <c r="N20" s="10" t="s">
        <v>99</v>
      </c>
      <c r="O20" s="10" t="s">
        <v>99</v>
      </c>
      <c r="P20" s="10" t="s">
        <v>99</v>
      </c>
      <c r="Q20" s="10" t="s">
        <v>99</v>
      </c>
      <c r="R20" s="10" t="s">
        <v>99</v>
      </c>
      <c r="S20" s="10" t="s">
        <v>99</v>
      </c>
      <c r="T20" s="10" t="s">
        <v>99</v>
      </c>
      <c r="U20" s="10" t="s">
        <v>99</v>
      </c>
      <c r="V20" s="10" t="s">
        <v>99</v>
      </c>
      <c r="W20" s="10" t="s">
        <v>99</v>
      </c>
      <c r="X20" s="10" t="s">
        <v>99</v>
      </c>
      <c r="Y20" s="10" t="s">
        <v>99</v>
      </c>
      <c r="Z20" s="10" t="s">
        <v>99</v>
      </c>
      <c r="AA20" s="10" t="s">
        <v>99</v>
      </c>
      <c r="AB20" s="10" t="s">
        <v>99</v>
      </c>
      <c r="AC20" s="10" t="s">
        <v>99</v>
      </c>
      <c r="AD20" s="10" t="s">
        <v>99</v>
      </c>
      <c r="AE20" s="10" t="s">
        <v>99</v>
      </c>
      <c r="AF20" s="10" t="s">
        <v>99</v>
      </c>
      <c r="AG20" s="10" t="s">
        <v>99</v>
      </c>
      <c r="AH20" s="10" t="s">
        <v>99</v>
      </c>
      <c r="AI20" s="10" t="s">
        <v>99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 spans="1:45" ht="20" customHeight="1">
      <c r="A21" s="11">
        <v>20</v>
      </c>
      <c r="B21" s="12" t="s">
        <v>53</v>
      </c>
      <c r="C21" s="11" t="s">
        <v>13</v>
      </c>
      <c r="D21" s="13"/>
      <c r="E21" s="11" t="s">
        <v>49</v>
      </c>
      <c r="F21" s="13" t="s">
        <v>44</v>
      </c>
      <c r="G21" s="11">
        <v>23</v>
      </c>
      <c r="H21" s="11">
        <v>0</v>
      </c>
      <c r="I21" s="11">
        <v>0</v>
      </c>
      <c r="J21" s="11">
        <v>0</v>
      </c>
      <c r="K21" s="11">
        <v>0</v>
      </c>
      <c r="L21" s="11">
        <v>10</v>
      </c>
      <c r="M21" s="10" t="s">
        <v>100</v>
      </c>
      <c r="N21" s="10" t="s">
        <v>100</v>
      </c>
      <c r="O21" s="10" t="s">
        <v>100</v>
      </c>
      <c r="P21" s="10" t="s">
        <v>100</v>
      </c>
      <c r="Q21" s="10" t="s">
        <v>100</v>
      </c>
      <c r="R21" s="10" t="s">
        <v>100</v>
      </c>
      <c r="S21" s="10" t="s">
        <v>100</v>
      </c>
      <c r="T21" s="10" t="s">
        <v>100</v>
      </c>
      <c r="U21" s="10" t="s">
        <v>100</v>
      </c>
      <c r="V21" s="10" t="s">
        <v>100</v>
      </c>
      <c r="W21" s="10" t="s">
        <v>100</v>
      </c>
      <c r="X21" s="10" t="s">
        <v>100</v>
      </c>
      <c r="Y21" s="10" t="s">
        <v>100</v>
      </c>
      <c r="Z21" s="10" t="s">
        <v>100</v>
      </c>
      <c r="AA21" s="10" t="s">
        <v>100</v>
      </c>
      <c r="AB21" s="10" t="s">
        <v>100</v>
      </c>
      <c r="AC21" s="10" t="s">
        <v>100</v>
      </c>
      <c r="AD21" s="10" t="s">
        <v>100</v>
      </c>
      <c r="AE21" s="10" t="s">
        <v>100</v>
      </c>
      <c r="AF21" s="10" t="s">
        <v>100</v>
      </c>
      <c r="AG21" s="10" t="s">
        <v>100</v>
      </c>
      <c r="AH21" s="10" t="s">
        <v>100</v>
      </c>
      <c r="AI21" s="10" t="s">
        <v>100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 spans="1:45" ht="20" customHeight="1">
      <c r="A22" s="15"/>
      <c r="B22" s="16"/>
      <c r="C22" s="16"/>
      <c r="D22" s="16"/>
      <c r="E22" s="15" t="s">
        <v>111</v>
      </c>
      <c r="F22" s="17">
        <v>0.002407407407407408</v>
      </c>
      <c r="G22" s="16">
        <v>564</v>
      </c>
      <c r="H22" s="16">
        <v>0</v>
      </c>
      <c r="I22" s="16">
        <v>0</v>
      </c>
      <c r="J22" s="16">
        <v>5</v>
      </c>
      <c r="K22" s="16">
        <v>0</v>
      </c>
      <c r="L22" s="16">
        <v>91</v>
      </c>
      <c r="M22" s="16" t="s">
        <v>104</v>
      </c>
      <c r="N22" s="16" t="s">
        <v>104</v>
      </c>
      <c r="O22" s="16" t="s">
        <v>104</v>
      </c>
      <c r="P22" s="16" t="s">
        <v>104</v>
      </c>
      <c r="Q22" s="16" t="s">
        <v>104</v>
      </c>
      <c r="R22" s="16" t="s">
        <v>104</v>
      </c>
      <c r="S22" s="16" t="s">
        <v>104</v>
      </c>
      <c r="T22" s="16" t="s">
        <v>104</v>
      </c>
      <c r="U22" s="16" t="s">
        <v>104</v>
      </c>
      <c r="V22" s="16" t="s">
        <v>104</v>
      </c>
      <c r="W22" s="16" t="s">
        <v>104</v>
      </c>
      <c r="X22" s="16" t="s">
        <v>104</v>
      </c>
      <c r="Y22" s="16" t="s">
        <v>104</v>
      </c>
      <c r="Z22" s="16" t="s">
        <v>104</v>
      </c>
      <c r="AA22" s="16" t="s">
        <v>104</v>
      </c>
      <c r="AB22" s="16" t="s">
        <v>104</v>
      </c>
      <c r="AC22" s="16" t="s">
        <v>104</v>
      </c>
      <c r="AD22" s="16" t="s">
        <v>104</v>
      </c>
      <c r="AE22" s="16" t="s">
        <v>104</v>
      </c>
      <c r="AF22" s="16" t="s">
        <v>104</v>
      </c>
      <c r="AG22" s="16" t="s">
        <v>104</v>
      </c>
      <c r="AH22" s="16" t="s">
        <v>104</v>
      </c>
      <c r="AI22" s="16" t="s">
        <v>105</v>
      </c>
      <c r="AJ22" s="16" t="s">
        <v>106</v>
      </c>
      <c r="AK22" s="16" t="s">
        <v>106</v>
      </c>
      <c r="AL22" s="16" t="s">
        <v>106</v>
      </c>
      <c r="AM22" s="16" t="s">
        <v>107</v>
      </c>
      <c r="AN22" s="16" t="s">
        <v>108</v>
      </c>
      <c r="AO22" s="16" t="s">
        <v>108</v>
      </c>
      <c r="AP22" s="16" t="s">
        <v>109</v>
      </c>
      <c r="AQ22" s="16" t="s">
        <v>109</v>
      </c>
      <c r="AR22" s="16" t="s">
        <v>110</v>
      </c>
      <c r="AS22" s="16" t="s">
        <v>110</v>
      </c>
    </row>
    <row r="23" spans="1:45" ht="20" customHeight="1"/>
    <row r="26" spans="1:45">
      <c r="C26" s="18" t="s">
        <v>112</v>
      </c>
      <c r="D26" s="18"/>
      <c r="F26" s="18" t="s">
        <v>113</v>
      </c>
      <c r="G26" s="18"/>
      <c r="I26" s="18" t="s">
        <v>114</v>
      </c>
      <c r="J26" s="18"/>
    </row>
    <row r="27" spans="1:45">
      <c r="C27" s="18"/>
      <c r="D27" s="18"/>
      <c r="F27" s="18"/>
      <c r="G27" s="18"/>
      <c r="I27" s="18"/>
      <c r="J27" s="18"/>
    </row>
    <row r="28" spans="1:45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iew Player Data"/>
    <hyperlink ref="F26" location="'Time Data'!A1:B2" display="View Time Data"/>
    <hyperlink ref="I2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4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115</v>
      </c>
      <c r="B1" s="3" t="s">
        <v>116</v>
      </c>
      <c r="C1" s="3" t="s">
        <v>117</v>
      </c>
      <c r="D1" s="3" t="s">
        <v>118</v>
      </c>
      <c r="E1" s="1" t="s">
        <v>119</v>
      </c>
      <c r="F1" s="1" t="s">
        <v>120</v>
      </c>
      <c r="G1" s="1" t="s">
        <v>121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122</v>
      </c>
      <c r="O1" s="1" t="s">
        <v>123</v>
      </c>
      <c r="P1" s="1" t="s">
        <v>124</v>
      </c>
      <c r="Q1" s="1" t="s">
        <v>125</v>
      </c>
    </row>
    <row r="2" spans="1:17" ht="20" customHeight="1">
      <c r="A2" s="7">
        <v>1</v>
      </c>
      <c r="B2" s="7" t="s">
        <v>126</v>
      </c>
      <c r="C2" s="7" t="s">
        <v>127</v>
      </c>
      <c r="D2" s="7" t="s">
        <v>128</v>
      </c>
      <c r="E2" s="7">
        <v>20</v>
      </c>
      <c r="F2" s="7" t="s">
        <v>104</v>
      </c>
      <c r="G2" s="7">
        <v>17181</v>
      </c>
      <c r="H2" s="7">
        <v>20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9">
        <v>0.0009490740740740741</v>
      </c>
      <c r="O2" s="7" t="s">
        <v>129</v>
      </c>
      <c r="P2" s="7" t="s">
        <v>130</v>
      </c>
      <c r="Q2" s="7"/>
    </row>
    <row r="3" spans="1:17" ht="20" customHeight="1">
      <c r="A3" s="11">
        <v>2</v>
      </c>
      <c r="B3" s="11" t="s">
        <v>131</v>
      </c>
      <c r="C3" s="11" t="s">
        <v>132</v>
      </c>
      <c r="D3" s="11" t="s">
        <v>133</v>
      </c>
      <c r="E3" s="11">
        <v>20</v>
      </c>
      <c r="F3" s="11" t="s">
        <v>104</v>
      </c>
      <c r="G3" s="11">
        <v>16981</v>
      </c>
      <c r="H3" s="11">
        <v>20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3">
        <v>0.0009490740740740741</v>
      </c>
      <c r="O3" s="11" t="s">
        <v>129</v>
      </c>
      <c r="P3" s="11" t="s">
        <v>130</v>
      </c>
      <c r="Q3" s="11"/>
    </row>
    <row r="4" spans="1:17" ht="20" customHeight="1">
      <c r="A4" s="7">
        <v>3</v>
      </c>
      <c r="B4" s="7" t="s">
        <v>134</v>
      </c>
      <c r="C4" s="7" t="s">
        <v>135</v>
      </c>
      <c r="D4" s="7" t="s">
        <v>136</v>
      </c>
      <c r="E4" s="7">
        <v>20</v>
      </c>
      <c r="F4" s="7" t="s">
        <v>104</v>
      </c>
      <c r="G4" s="7">
        <v>18181</v>
      </c>
      <c r="H4" s="7">
        <v>20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9">
        <v>0.001006944444444444</v>
      </c>
      <c r="O4" s="7" t="s">
        <v>129</v>
      </c>
      <c r="P4" s="7" t="s">
        <v>130</v>
      </c>
      <c r="Q4" s="7"/>
    </row>
    <row r="5" spans="1:17" ht="20" customHeight="1">
      <c r="A5" s="11">
        <v>4</v>
      </c>
      <c r="B5" s="11" t="s">
        <v>137</v>
      </c>
      <c r="C5" s="11"/>
      <c r="D5" s="11" t="s">
        <v>138</v>
      </c>
      <c r="E5" s="11">
        <v>20</v>
      </c>
      <c r="F5" s="11" t="s">
        <v>104</v>
      </c>
      <c r="G5" s="11">
        <v>16981</v>
      </c>
      <c r="H5" s="11">
        <v>20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3">
        <v>0.001331018518518518</v>
      </c>
      <c r="O5" s="11" t="s">
        <v>129</v>
      </c>
      <c r="P5" s="11" t="s">
        <v>130</v>
      </c>
      <c r="Q5" s="11"/>
    </row>
    <row r="6" spans="1:17" ht="20" customHeight="1">
      <c r="A6" s="7">
        <v>5</v>
      </c>
      <c r="B6" s="7" t="s">
        <v>139</v>
      </c>
      <c r="C6" s="7" t="s">
        <v>140</v>
      </c>
      <c r="D6" s="7" t="s">
        <v>141</v>
      </c>
      <c r="E6" s="7">
        <v>20</v>
      </c>
      <c r="F6" s="7" t="s">
        <v>104</v>
      </c>
      <c r="G6" s="7">
        <v>17581</v>
      </c>
      <c r="H6" s="7">
        <v>20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9">
        <v>0.001539351851851852</v>
      </c>
      <c r="O6" s="7" t="s">
        <v>129</v>
      </c>
      <c r="P6" s="7" t="s">
        <v>130</v>
      </c>
      <c r="Q6" s="7"/>
    </row>
    <row r="7" spans="1:17" ht="20" customHeight="1">
      <c r="A7" s="11">
        <v>6</v>
      </c>
      <c r="B7" s="11" t="s">
        <v>142</v>
      </c>
      <c r="C7" s="11" t="s">
        <v>143</v>
      </c>
      <c r="D7" s="11" t="s">
        <v>144</v>
      </c>
      <c r="E7" s="11">
        <v>20</v>
      </c>
      <c r="F7" s="11" t="s">
        <v>104</v>
      </c>
      <c r="G7" s="11">
        <v>16381</v>
      </c>
      <c r="H7" s="11">
        <v>20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3">
        <v>0.001550925925925926</v>
      </c>
      <c r="O7" s="11" t="s">
        <v>129</v>
      </c>
      <c r="P7" s="11" t="s">
        <v>130</v>
      </c>
      <c r="Q7" s="11"/>
    </row>
    <row r="8" spans="1:17" ht="20" customHeight="1">
      <c r="A8" s="7">
        <v>7</v>
      </c>
      <c r="B8" s="7" t="s">
        <v>145</v>
      </c>
      <c r="C8" s="7" t="s">
        <v>146</v>
      </c>
      <c r="D8" s="7" t="s">
        <v>147</v>
      </c>
      <c r="E8" s="7">
        <v>20</v>
      </c>
      <c r="F8" s="7" t="s">
        <v>104</v>
      </c>
      <c r="G8" s="7">
        <v>19181</v>
      </c>
      <c r="H8" s="7">
        <v>20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9">
        <v>0.001574074074074074</v>
      </c>
      <c r="O8" s="7" t="s">
        <v>129</v>
      </c>
      <c r="P8" s="7" t="s">
        <v>130</v>
      </c>
      <c r="Q8" s="7"/>
    </row>
    <row r="9" spans="1:17" ht="20" customHeight="1">
      <c r="A9" s="11">
        <v>8</v>
      </c>
      <c r="B9" s="11" t="s">
        <v>148</v>
      </c>
      <c r="C9" s="11" t="s">
        <v>149</v>
      </c>
      <c r="D9" s="11" t="s">
        <v>150</v>
      </c>
      <c r="E9" s="11">
        <v>20</v>
      </c>
      <c r="F9" s="11" t="s">
        <v>104</v>
      </c>
      <c r="G9" s="11">
        <v>18581</v>
      </c>
      <c r="H9" s="11">
        <v>20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3">
        <v>0.001608796296296296</v>
      </c>
      <c r="O9" s="11" t="s">
        <v>129</v>
      </c>
      <c r="P9" s="11" t="s">
        <v>151</v>
      </c>
      <c r="Q9" s="11"/>
    </row>
    <row r="10" spans="1:17" ht="20" customHeight="1">
      <c r="A10" s="7">
        <v>9</v>
      </c>
      <c r="B10" s="7" t="s">
        <v>152</v>
      </c>
      <c r="C10" s="7" t="s">
        <v>152</v>
      </c>
      <c r="D10" s="7" t="s">
        <v>153</v>
      </c>
      <c r="E10" s="7">
        <v>20</v>
      </c>
      <c r="F10" s="7" t="s">
        <v>104</v>
      </c>
      <c r="G10" s="7">
        <v>17981</v>
      </c>
      <c r="H10" s="7">
        <v>20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9">
        <v>0.00162037037037037</v>
      </c>
      <c r="O10" s="7" t="s">
        <v>129</v>
      </c>
      <c r="P10" s="7" t="s">
        <v>130</v>
      </c>
      <c r="Q10" s="7"/>
    </row>
    <row r="11" spans="1:17" ht="20" customHeight="1">
      <c r="A11" s="11">
        <v>10</v>
      </c>
      <c r="B11" s="11" t="s">
        <v>154</v>
      </c>
      <c r="C11" s="11" t="s">
        <v>155</v>
      </c>
      <c r="D11" s="11" t="s">
        <v>156</v>
      </c>
      <c r="E11" s="11">
        <v>20</v>
      </c>
      <c r="F11" s="11" t="s">
        <v>104</v>
      </c>
      <c r="G11" s="11">
        <v>17981</v>
      </c>
      <c r="H11" s="11">
        <v>20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3">
        <v>0.001979166666666667</v>
      </c>
      <c r="O11" s="11" t="s">
        <v>129</v>
      </c>
      <c r="P11" s="11" t="s">
        <v>130</v>
      </c>
      <c r="Q11" s="11"/>
    </row>
    <row r="12" spans="1:17" ht="20" customHeight="1">
      <c r="A12" s="7">
        <v>11</v>
      </c>
      <c r="B12" s="7" t="s">
        <v>157</v>
      </c>
      <c r="C12" s="7" t="s">
        <v>158</v>
      </c>
      <c r="D12" s="7" t="s">
        <v>159</v>
      </c>
      <c r="E12" s="7">
        <v>20</v>
      </c>
      <c r="F12" s="7" t="s">
        <v>104</v>
      </c>
      <c r="G12" s="7">
        <v>17781</v>
      </c>
      <c r="H12" s="7">
        <v>20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9">
        <v>0.002060185185185185</v>
      </c>
      <c r="O12" s="7" t="s">
        <v>129</v>
      </c>
      <c r="P12" s="7" t="s">
        <v>130</v>
      </c>
      <c r="Q12" s="7"/>
    </row>
    <row r="13" spans="1:17" ht="20" customHeight="1">
      <c r="A13" s="11">
        <v>12</v>
      </c>
      <c r="B13" s="11" t="s">
        <v>160</v>
      </c>
      <c r="C13" s="11" t="s">
        <v>161</v>
      </c>
      <c r="D13" s="11" t="s">
        <v>162</v>
      </c>
      <c r="E13" s="11">
        <v>20</v>
      </c>
      <c r="F13" s="11" t="s">
        <v>104</v>
      </c>
      <c r="G13" s="11">
        <v>18181</v>
      </c>
      <c r="H13" s="11">
        <v>20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3">
        <v>0.002060185185185185</v>
      </c>
      <c r="O13" s="11" t="s">
        <v>129</v>
      </c>
      <c r="P13" s="11" t="s">
        <v>130</v>
      </c>
      <c r="Q13" s="11"/>
    </row>
    <row r="14" spans="1:17" ht="20" customHeight="1">
      <c r="A14" s="7">
        <v>13</v>
      </c>
      <c r="B14" s="7" t="s">
        <v>163</v>
      </c>
      <c r="C14" s="7" t="s">
        <v>164</v>
      </c>
      <c r="D14" s="7" t="s">
        <v>165</v>
      </c>
      <c r="E14" s="7">
        <v>20</v>
      </c>
      <c r="F14" s="7" t="s">
        <v>104</v>
      </c>
      <c r="G14" s="7">
        <v>17781</v>
      </c>
      <c r="H14" s="7">
        <v>20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9">
        <v>0.002083333333333333</v>
      </c>
      <c r="O14" s="7" t="s">
        <v>129</v>
      </c>
      <c r="P14" s="7" t="s">
        <v>130</v>
      </c>
      <c r="Q14" s="7"/>
    </row>
    <row r="15" spans="1:17" ht="20" customHeight="1">
      <c r="A15" s="11">
        <v>14</v>
      </c>
      <c r="B15" s="11" t="s">
        <v>166</v>
      </c>
      <c r="C15" s="11" t="s">
        <v>167</v>
      </c>
      <c r="D15" s="11" t="s">
        <v>168</v>
      </c>
      <c r="E15" s="11">
        <v>20</v>
      </c>
      <c r="F15" s="11" t="s">
        <v>104</v>
      </c>
      <c r="G15" s="11">
        <v>18381</v>
      </c>
      <c r="H15" s="11">
        <v>20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3">
        <v>0.002141203703703704</v>
      </c>
      <c r="O15" s="11" t="s">
        <v>129</v>
      </c>
      <c r="P15" s="11" t="s">
        <v>130</v>
      </c>
      <c r="Q15" s="11"/>
    </row>
    <row r="16" spans="1:17" ht="20" customHeight="1">
      <c r="A16" s="7">
        <v>15</v>
      </c>
      <c r="B16" s="7" t="s">
        <v>169</v>
      </c>
      <c r="C16" s="7" t="s">
        <v>170</v>
      </c>
      <c r="D16" s="7" t="s">
        <v>171</v>
      </c>
      <c r="E16" s="7">
        <v>20</v>
      </c>
      <c r="F16" s="7" t="s">
        <v>104</v>
      </c>
      <c r="G16" s="7">
        <v>17781</v>
      </c>
      <c r="H16" s="7">
        <v>20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9">
        <v>0.002361111111111111</v>
      </c>
      <c r="O16" s="7" t="s">
        <v>129</v>
      </c>
      <c r="P16" s="7" t="s">
        <v>130</v>
      </c>
      <c r="Q16" s="7"/>
    </row>
    <row r="17" spans="1:17" ht="20" customHeight="1">
      <c r="A17" s="11">
        <v>16</v>
      </c>
      <c r="B17" s="11" t="s">
        <v>172</v>
      </c>
      <c r="C17" s="11" t="s">
        <v>173</v>
      </c>
      <c r="D17" s="11" t="s">
        <v>174</v>
      </c>
      <c r="E17" s="11">
        <v>20</v>
      </c>
      <c r="F17" s="11" t="s">
        <v>104</v>
      </c>
      <c r="G17" s="11">
        <v>18781</v>
      </c>
      <c r="H17" s="11">
        <v>20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3">
        <v>0.002523148148148148</v>
      </c>
      <c r="O17" s="11" t="s">
        <v>129</v>
      </c>
      <c r="P17" s="11" t="s">
        <v>130</v>
      </c>
      <c r="Q17" s="11"/>
    </row>
    <row r="18" spans="1:17" ht="20" customHeight="1">
      <c r="A18" s="7">
        <v>17</v>
      </c>
      <c r="B18" s="7" t="s">
        <v>175</v>
      </c>
      <c r="C18" s="7" t="s">
        <v>176</v>
      </c>
      <c r="D18" s="7" t="s">
        <v>177</v>
      </c>
      <c r="E18" s="7">
        <v>20</v>
      </c>
      <c r="F18" s="7" t="s">
        <v>104</v>
      </c>
      <c r="G18" s="7">
        <v>17581</v>
      </c>
      <c r="H18" s="7">
        <v>20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9">
        <v>0.003043981481481481</v>
      </c>
      <c r="O18" s="7" t="s">
        <v>129</v>
      </c>
      <c r="P18" s="7" t="s">
        <v>130</v>
      </c>
      <c r="Q18" s="7"/>
    </row>
    <row r="19" spans="1:17" ht="20" customHeight="1">
      <c r="A19" s="11">
        <v>18</v>
      </c>
      <c r="B19" s="11" t="s">
        <v>178</v>
      </c>
      <c r="C19" s="11" t="s">
        <v>179</v>
      </c>
      <c r="D19" s="11" t="s">
        <v>180</v>
      </c>
      <c r="E19" s="11">
        <v>20</v>
      </c>
      <c r="F19" s="11" t="s">
        <v>104</v>
      </c>
      <c r="G19" s="11">
        <v>19381</v>
      </c>
      <c r="H19" s="11">
        <v>20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3">
        <v>0.003055555555555556</v>
      </c>
      <c r="O19" s="11" t="s">
        <v>129</v>
      </c>
      <c r="P19" s="11" t="s">
        <v>130</v>
      </c>
      <c r="Q19" s="11"/>
    </row>
    <row r="20" spans="1:17" ht="20" customHeight="1">
      <c r="A20" s="7">
        <v>19</v>
      </c>
      <c r="B20" s="7" t="s">
        <v>181</v>
      </c>
      <c r="C20" s="7" t="s">
        <v>182</v>
      </c>
      <c r="D20" s="7" t="s">
        <v>183</v>
      </c>
      <c r="E20" s="7">
        <v>20</v>
      </c>
      <c r="F20" s="7" t="s">
        <v>104</v>
      </c>
      <c r="G20" s="7">
        <v>18381</v>
      </c>
      <c r="H20" s="7">
        <v>20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9">
        <v>0.003206018518518519</v>
      </c>
      <c r="O20" s="7" t="s">
        <v>129</v>
      </c>
      <c r="P20" s="7" t="s">
        <v>130</v>
      </c>
      <c r="Q20" s="7"/>
    </row>
    <row r="21" spans="1:17" ht="20" customHeight="1">
      <c r="A21" s="11">
        <v>20</v>
      </c>
      <c r="B21" s="11" t="s">
        <v>184</v>
      </c>
      <c r="C21" s="11" t="s">
        <v>185</v>
      </c>
      <c r="D21" s="11" t="s">
        <v>186</v>
      </c>
      <c r="E21" s="11">
        <v>20</v>
      </c>
      <c r="F21" s="11" t="s">
        <v>104</v>
      </c>
      <c r="G21" s="11">
        <v>19781</v>
      </c>
      <c r="H21" s="11">
        <v>20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3">
        <v>0.004351851851851852</v>
      </c>
      <c r="O21" s="11" t="s">
        <v>129</v>
      </c>
      <c r="P21" s="11" t="s">
        <v>130</v>
      </c>
      <c r="Q21" s="11"/>
    </row>
    <row r="22" spans="1:17" ht="20" customHeight="1">
      <c r="A22" s="7">
        <v>21</v>
      </c>
      <c r="B22" s="7" t="s">
        <v>187</v>
      </c>
      <c r="C22" s="7" t="s">
        <v>187</v>
      </c>
      <c r="D22" s="7" t="s">
        <v>188</v>
      </c>
      <c r="E22" s="7">
        <v>20</v>
      </c>
      <c r="F22" s="7" t="s">
        <v>104</v>
      </c>
      <c r="G22" s="7">
        <v>19581</v>
      </c>
      <c r="H22" s="7">
        <v>20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9">
        <v>0.004479166666666667</v>
      </c>
      <c r="O22" s="7" t="s">
        <v>129</v>
      </c>
      <c r="P22" s="7" t="s">
        <v>189</v>
      </c>
      <c r="Q22" s="7"/>
    </row>
    <row r="23" spans="1:17" ht="20" customHeight="1">
      <c r="A23" s="11">
        <v>22</v>
      </c>
      <c r="B23" s="11" t="s">
        <v>190</v>
      </c>
      <c r="C23" s="11" t="s">
        <v>191</v>
      </c>
      <c r="D23" s="11" t="s">
        <v>192</v>
      </c>
      <c r="E23" s="11">
        <v>20</v>
      </c>
      <c r="F23" s="11" t="s">
        <v>104</v>
      </c>
      <c r="G23" s="11">
        <v>19581</v>
      </c>
      <c r="H23" s="11">
        <v>20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3">
        <v>0.004641203703703704</v>
      </c>
      <c r="O23" s="11" t="s">
        <v>129</v>
      </c>
      <c r="P23" s="11" t="s">
        <v>130</v>
      </c>
      <c r="Q23" s="11"/>
    </row>
    <row r="24" spans="1:17" ht="20" customHeight="1">
      <c r="A24" s="7">
        <v>23</v>
      </c>
      <c r="B24" s="7" t="s">
        <v>193</v>
      </c>
      <c r="C24" s="7" t="s">
        <v>194</v>
      </c>
      <c r="D24" s="7" t="s">
        <v>195</v>
      </c>
      <c r="E24" s="7">
        <v>20</v>
      </c>
      <c r="F24" s="7" t="s">
        <v>105</v>
      </c>
      <c r="G24" s="7">
        <v>16982</v>
      </c>
      <c r="H24" s="7">
        <v>19</v>
      </c>
      <c r="I24" s="7">
        <v>0</v>
      </c>
      <c r="J24" s="7">
        <v>0</v>
      </c>
      <c r="K24" s="7">
        <v>1</v>
      </c>
      <c r="L24" s="7">
        <v>0</v>
      </c>
      <c r="M24" s="7">
        <v>0</v>
      </c>
      <c r="N24" s="9">
        <v>0.002673611111111111</v>
      </c>
      <c r="O24" s="7" t="s">
        <v>129</v>
      </c>
      <c r="P24" s="7" t="s">
        <v>130</v>
      </c>
      <c r="Q24" s="7"/>
    </row>
    <row r="25" spans="1:17" ht="20" customHeight="1">
      <c r="A25" s="11">
        <v>24</v>
      </c>
      <c r="B25" s="11" t="s">
        <v>196</v>
      </c>
      <c r="C25" s="11" t="s">
        <v>197</v>
      </c>
      <c r="D25" s="11" t="s">
        <v>198</v>
      </c>
      <c r="E25" s="11">
        <v>16</v>
      </c>
      <c r="F25" s="11" t="s">
        <v>106</v>
      </c>
      <c r="G25" s="11">
        <v>12185</v>
      </c>
      <c r="H25" s="11">
        <v>16</v>
      </c>
      <c r="I25" s="11">
        <v>0</v>
      </c>
      <c r="J25" s="11">
        <v>0</v>
      </c>
      <c r="K25" s="11">
        <v>0</v>
      </c>
      <c r="L25" s="11">
        <v>0</v>
      </c>
      <c r="M25" s="11">
        <v>4</v>
      </c>
      <c r="N25" s="13">
        <v>0.001354166666666667</v>
      </c>
      <c r="O25" s="11" t="s">
        <v>129</v>
      </c>
      <c r="P25" s="11" t="s">
        <v>130</v>
      </c>
      <c r="Q25" s="11"/>
    </row>
    <row r="26" spans="1:17" ht="20" customHeight="1">
      <c r="A26" s="7">
        <v>25</v>
      </c>
      <c r="B26" s="7" t="s">
        <v>199</v>
      </c>
      <c r="C26" s="7" t="s">
        <v>200</v>
      </c>
      <c r="D26" s="7" t="s">
        <v>201</v>
      </c>
      <c r="E26" s="7">
        <v>16</v>
      </c>
      <c r="F26" s="7" t="s">
        <v>106</v>
      </c>
      <c r="G26" s="7">
        <v>13585</v>
      </c>
      <c r="H26" s="7">
        <v>16</v>
      </c>
      <c r="I26" s="7">
        <v>0</v>
      </c>
      <c r="J26" s="7">
        <v>0</v>
      </c>
      <c r="K26" s="7">
        <v>0</v>
      </c>
      <c r="L26" s="7">
        <v>0</v>
      </c>
      <c r="M26" s="7">
        <v>4</v>
      </c>
      <c r="N26" s="9">
        <v>0.002094907407407407</v>
      </c>
      <c r="O26" s="7" t="s">
        <v>129</v>
      </c>
      <c r="P26" s="7" t="s">
        <v>130</v>
      </c>
      <c r="Q26" s="7"/>
    </row>
    <row r="27" spans="1:17" ht="20" customHeight="1">
      <c r="A27" s="11">
        <v>26</v>
      </c>
      <c r="B27" s="11" t="s">
        <v>202</v>
      </c>
      <c r="C27" s="11" t="s">
        <v>203</v>
      </c>
      <c r="D27" s="11" t="s">
        <v>204</v>
      </c>
      <c r="E27" s="11">
        <v>16</v>
      </c>
      <c r="F27" s="11" t="s">
        <v>106</v>
      </c>
      <c r="G27" s="11">
        <v>14385</v>
      </c>
      <c r="H27" s="11">
        <v>16</v>
      </c>
      <c r="I27" s="11">
        <v>0</v>
      </c>
      <c r="J27" s="11">
        <v>0</v>
      </c>
      <c r="K27" s="11">
        <v>0</v>
      </c>
      <c r="L27" s="11">
        <v>0</v>
      </c>
      <c r="M27" s="11">
        <v>4</v>
      </c>
      <c r="N27" s="13">
        <v>0.002094907407407407</v>
      </c>
      <c r="O27" s="11" t="s">
        <v>129</v>
      </c>
      <c r="P27" s="11" t="s">
        <v>205</v>
      </c>
      <c r="Q27" s="11"/>
    </row>
    <row r="28" spans="1:17" ht="20" customHeight="1">
      <c r="A28" s="7">
        <v>27</v>
      </c>
      <c r="B28" s="7" t="s">
        <v>206</v>
      </c>
      <c r="C28" s="7" t="s">
        <v>207</v>
      </c>
      <c r="D28" s="7" t="s">
        <v>208</v>
      </c>
      <c r="E28" s="7">
        <v>13</v>
      </c>
      <c r="F28" s="7" t="s">
        <v>107</v>
      </c>
      <c r="G28" s="7">
        <v>11788</v>
      </c>
      <c r="H28" s="7">
        <v>13</v>
      </c>
      <c r="I28" s="7">
        <v>0</v>
      </c>
      <c r="J28" s="7">
        <v>0</v>
      </c>
      <c r="K28" s="7">
        <v>0</v>
      </c>
      <c r="L28" s="7">
        <v>0</v>
      </c>
      <c r="M28" s="7">
        <v>7</v>
      </c>
      <c r="N28" s="9">
        <v>0.003229166666666667</v>
      </c>
      <c r="O28" s="7" t="s">
        <v>129</v>
      </c>
      <c r="P28" s="7" t="s">
        <v>130</v>
      </c>
      <c r="Q28" s="7"/>
    </row>
    <row r="29" spans="1:17" ht="20" customHeight="1">
      <c r="A29" s="11">
        <v>28</v>
      </c>
      <c r="B29" s="11" t="s">
        <v>209</v>
      </c>
      <c r="C29" s="11" t="s">
        <v>161</v>
      </c>
      <c r="D29" s="11" t="s">
        <v>210</v>
      </c>
      <c r="E29" s="11">
        <v>12</v>
      </c>
      <c r="F29" s="11" t="s">
        <v>108</v>
      </c>
      <c r="G29" s="11">
        <v>8789</v>
      </c>
      <c r="H29" s="11">
        <v>12</v>
      </c>
      <c r="I29" s="11">
        <v>0</v>
      </c>
      <c r="J29" s="11">
        <v>0</v>
      </c>
      <c r="K29" s="11">
        <v>0</v>
      </c>
      <c r="L29" s="11">
        <v>0</v>
      </c>
      <c r="M29" s="11">
        <v>8</v>
      </c>
      <c r="N29" s="13">
        <v>0.002060185185185185</v>
      </c>
      <c r="O29" s="11" t="s">
        <v>129</v>
      </c>
      <c r="P29" s="11" t="s">
        <v>130</v>
      </c>
      <c r="Q29" s="11"/>
    </row>
    <row r="30" spans="1:17" ht="20" customHeight="1">
      <c r="A30" s="7">
        <v>29</v>
      </c>
      <c r="B30" s="7" t="s">
        <v>211</v>
      </c>
      <c r="C30" s="7" t="s">
        <v>211</v>
      </c>
      <c r="D30" s="7" t="s">
        <v>212</v>
      </c>
      <c r="E30" s="7">
        <v>12</v>
      </c>
      <c r="F30" s="7" t="s">
        <v>108</v>
      </c>
      <c r="G30" s="7">
        <v>10789</v>
      </c>
      <c r="H30" s="7">
        <v>12</v>
      </c>
      <c r="I30" s="7">
        <v>0</v>
      </c>
      <c r="J30" s="7">
        <v>0</v>
      </c>
      <c r="K30" s="7">
        <v>0</v>
      </c>
      <c r="L30" s="7">
        <v>0</v>
      </c>
      <c r="M30" s="7">
        <v>8</v>
      </c>
      <c r="N30" s="9">
        <v>0.003321759259259259</v>
      </c>
      <c r="O30" s="7" t="s">
        <v>129</v>
      </c>
      <c r="P30" s="7" t="s">
        <v>189</v>
      </c>
      <c r="Q30" s="7"/>
    </row>
    <row r="31" spans="1:17" ht="20" customHeight="1">
      <c r="A31" s="11">
        <v>30</v>
      </c>
      <c r="B31" s="11" t="s">
        <v>213</v>
      </c>
      <c r="C31" s="11" t="s">
        <v>214</v>
      </c>
      <c r="D31" s="11" t="s">
        <v>215</v>
      </c>
      <c r="E31" s="11">
        <v>12</v>
      </c>
      <c r="F31" s="11" t="s">
        <v>109</v>
      </c>
      <c r="G31" s="11">
        <v>7591</v>
      </c>
      <c r="H31" s="11">
        <v>10</v>
      </c>
      <c r="I31" s="11">
        <v>0</v>
      </c>
      <c r="J31" s="11">
        <v>0</v>
      </c>
      <c r="K31" s="11">
        <v>2</v>
      </c>
      <c r="L31" s="11">
        <v>0</v>
      </c>
      <c r="M31" s="11">
        <v>8</v>
      </c>
      <c r="N31" s="13">
        <v>0.0009375</v>
      </c>
      <c r="O31" s="11" t="s">
        <v>129</v>
      </c>
      <c r="P31" s="11" t="s">
        <v>130</v>
      </c>
      <c r="Q31" s="11"/>
    </row>
    <row r="32" spans="1:17" ht="20" customHeight="1">
      <c r="A32" s="7">
        <v>31</v>
      </c>
      <c r="B32" s="7" t="s">
        <v>216</v>
      </c>
      <c r="C32" s="7" t="s">
        <v>217</v>
      </c>
      <c r="D32" s="7" t="s">
        <v>218</v>
      </c>
      <c r="E32" s="7">
        <v>12</v>
      </c>
      <c r="F32" s="7" t="s">
        <v>109</v>
      </c>
      <c r="G32" s="7">
        <v>8391</v>
      </c>
      <c r="H32" s="7">
        <v>10</v>
      </c>
      <c r="I32" s="7">
        <v>0</v>
      </c>
      <c r="J32" s="7">
        <v>0</v>
      </c>
      <c r="K32" s="7">
        <v>2</v>
      </c>
      <c r="L32" s="7">
        <v>0</v>
      </c>
      <c r="M32" s="7">
        <v>8</v>
      </c>
      <c r="N32" s="9">
        <v>0.002881944444444444</v>
      </c>
      <c r="O32" s="7" t="s">
        <v>129</v>
      </c>
      <c r="P32" s="7" t="s">
        <v>130</v>
      </c>
      <c r="Q32" s="7"/>
    </row>
    <row r="33" spans="1:17" ht="20" customHeight="1">
      <c r="A33" s="11">
        <v>32</v>
      </c>
      <c r="B33" s="11" t="s">
        <v>139</v>
      </c>
      <c r="C33" s="11" t="s">
        <v>140</v>
      </c>
      <c r="D33" s="11" t="s">
        <v>219</v>
      </c>
      <c r="E33" s="11">
        <v>0</v>
      </c>
      <c r="F33" s="11" t="s">
        <v>110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3">
        <v>0</v>
      </c>
      <c r="O33" s="11" t="s">
        <v>129</v>
      </c>
      <c r="P33" s="11" t="s">
        <v>130</v>
      </c>
      <c r="Q33" s="11"/>
    </row>
    <row r="34" spans="1:17" ht="20" customHeight="1">
      <c r="A34" s="7">
        <v>33</v>
      </c>
      <c r="B34" s="7" t="s">
        <v>220</v>
      </c>
      <c r="C34" s="7" t="s">
        <v>221</v>
      </c>
      <c r="D34" s="7" t="s">
        <v>222</v>
      </c>
      <c r="E34" s="7">
        <v>0</v>
      </c>
      <c r="F34" s="7" t="s">
        <v>110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9">
        <v>0</v>
      </c>
      <c r="O34" s="7" t="s">
        <v>129</v>
      </c>
      <c r="P34" s="7" t="s">
        <v>151</v>
      </c>
      <c r="Q3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38" width="12.7109375" customWidth="1"/>
  </cols>
  <sheetData>
    <row r="1" spans="1:38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128</v>
      </c>
      <c r="G1" s="3" t="s">
        <v>133</v>
      </c>
      <c r="H1" s="3" t="s">
        <v>136</v>
      </c>
      <c r="I1" s="3" t="s">
        <v>138</v>
      </c>
      <c r="J1" s="3" t="s">
        <v>141</v>
      </c>
      <c r="K1" s="3" t="s">
        <v>144</v>
      </c>
      <c r="L1" s="3" t="s">
        <v>147</v>
      </c>
      <c r="M1" s="3" t="s">
        <v>150</v>
      </c>
      <c r="N1" s="3" t="s">
        <v>153</v>
      </c>
      <c r="O1" s="3" t="s">
        <v>156</v>
      </c>
      <c r="P1" s="3" t="s">
        <v>159</v>
      </c>
      <c r="Q1" s="3" t="s">
        <v>162</v>
      </c>
      <c r="R1" s="3" t="s">
        <v>165</v>
      </c>
      <c r="S1" s="3" t="s">
        <v>168</v>
      </c>
      <c r="T1" s="3" t="s">
        <v>171</v>
      </c>
      <c r="U1" s="3" t="s">
        <v>174</v>
      </c>
      <c r="V1" s="3" t="s">
        <v>177</v>
      </c>
      <c r="W1" s="3" t="s">
        <v>180</v>
      </c>
      <c r="X1" s="3" t="s">
        <v>183</v>
      </c>
      <c r="Y1" s="3" t="s">
        <v>186</v>
      </c>
      <c r="Z1" s="3" t="s">
        <v>188</v>
      </c>
      <c r="AA1" s="3" t="s">
        <v>192</v>
      </c>
      <c r="AB1" s="3" t="s">
        <v>195</v>
      </c>
      <c r="AC1" s="3" t="s">
        <v>198</v>
      </c>
      <c r="AD1" s="3" t="s">
        <v>201</v>
      </c>
      <c r="AE1" s="3" t="s">
        <v>204</v>
      </c>
      <c r="AF1" s="3" t="s">
        <v>208</v>
      </c>
      <c r="AG1" s="3" t="s">
        <v>210</v>
      </c>
      <c r="AH1" s="3" t="s">
        <v>212</v>
      </c>
      <c r="AI1" s="3" t="s">
        <v>215</v>
      </c>
      <c r="AJ1" s="3" t="s">
        <v>218</v>
      </c>
      <c r="AK1" s="3" t="s">
        <v>219</v>
      </c>
      <c r="AL1" s="3" t="s">
        <v>222</v>
      </c>
    </row>
    <row r="2" spans="1:38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5.787037037037037E-05</v>
      </c>
      <c r="G2" s="9">
        <v>0.0001273148148148148</v>
      </c>
      <c r="H2" s="9">
        <v>0.0001967592592592593</v>
      </c>
      <c r="I2" s="9">
        <v>8.101851851851852E-05</v>
      </c>
      <c r="J2" s="9">
        <v>9.259259259259259E-05</v>
      </c>
      <c r="K2" s="9">
        <v>5.787037037037037E-05</v>
      </c>
      <c r="L2" s="9">
        <v>6.944444444444444E-05</v>
      </c>
      <c r="M2" s="9">
        <v>9.259259259259259E-05</v>
      </c>
      <c r="N2" s="9">
        <v>4.629629629629629E-05</v>
      </c>
      <c r="O2" s="9">
        <v>0.0002662037037037037</v>
      </c>
      <c r="P2" s="9">
        <v>0.0001273148148148148</v>
      </c>
      <c r="Q2" s="9">
        <v>9.259259259259259E-05</v>
      </c>
      <c r="R2" s="9">
        <v>0.0001157407407407407</v>
      </c>
      <c r="S2" s="9">
        <v>0.0002314814814814815</v>
      </c>
      <c r="T2" s="9">
        <v>0.0001851851851851852</v>
      </c>
      <c r="U2" s="9">
        <v>0.0001736111111111111</v>
      </c>
      <c r="V2" s="9">
        <v>2.314814814814815E-05</v>
      </c>
      <c r="W2" s="9">
        <v>0.000162037037037037</v>
      </c>
      <c r="X2" s="9">
        <v>0.000162037037037037</v>
      </c>
      <c r="Y2" s="9">
        <v>0.0001851851851851852</v>
      </c>
      <c r="Z2" s="9">
        <v>0.000162037037037037</v>
      </c>
      <c r="AA2" s="9">
        <v>0.0001388888888888889</v>
      </c>
      <c r="AB2" s="9">
        <v>0.0001851851851851852</v>
      </c>
      <c r="AC2" s="9">
        <v>6.944444444444444E-05</v>
      </c>
      <c r="AD2" s="9">
        <v>3.472222222222222E-05</v>
      </c>
      <c r="AE2" s="9">
        <v>8.101851851851852E-05</v>
      </c>
      <c r="AF2" s="9">
        <v>0.0001388888888888889</v>
      </c>
      <c r="AG2" s="9">
        <v>5.787037037037037E-05</v>
      </c>
      <c r="AH2" s="9">
        <v>0.0002430555555555555</v>
      </c>
      <c r="AI2" s="9">
        <v>4.629629629629629E-05</v>
      </c>
      <c r="AJ2" s="9">
        <v>0.0001851851851851852</v>
      </c>
      <c r="AK2" s="9" t="s">
        <v>224</v>
      </c>
      <c r="AL2" s="9" t="s">
        <v>224</v>
      </c>
    </row>
    <row r="3" spans="1:38" ht="20" customHeight="1">
      <c r="A3" s="11">
        <v>2</v>
      </c>
      <c r="B3" s="12" t="s">
        <v>16</v>
      </c>
      <c r="C3" s="11" t="s">
        <v>13</v>
      </c>
      <c r="D3" s="11" t="s">
        <v>14</v>
      </c>
      <c r="E3" s="11" t="s">
        <v>15</v>
      </c>
      <c r="F3" s="13">
        <v>9.259259259259259E-05</v>
      </c>
      <c r="G3" s="13">
        <v>0.0001967592592592593</v>
      </c>
      <c r="H3" s="13">
        <v>1.157407407407407E-05</v>
      </c>
      <c r="I3" s="13">
        <v>0.000150462962962963</v>
      </c>
      <c r="J3" s="13">
        <v>0.0001273148148148148</v>
      </c>
      <c r="K3" s="13">
        <v>0.0002662037037037037</v>
      </c>
      <c r="L3" s="13">
        <v>1.157407407407407E-05</v>
      </c>
      <c r="M3" s="13">
        <v>0.0001041666666666667</v>
      </c>
      <c r="N3" s="13">
        <v>8.101851851851852E-05</v>
      </c>
      <c r="O3" s="13">
        <v>0.0002199074074074074</v>
      </c>
      <c r="P3" s="13">
        <v>2.314814814814815E-05</v>
      </c>
      <c r="Q3" s="13">
        <v>8.101851851851852E-05</v>
      </c>
      <c r="R3" s="13">
        <v>8.101851851851852E-05</v>
      </c>
      <c r="S3" s="13">
        <v>0.0002546296296296296</v>
      </c>
      <c r="T3" s="13">
        <v>0.0004166666666666667</v>
      </c>
      <c r="U3" s="13">
        <v>0.000150462962962963</v>
      </c>
      <c r="V3" s="13">
        <v>0.0001157407407407407</v>
      </c>
      <c r="W3" s="13">
        <v>9.259259259259259E-05</v>
      </c>
      <c r="X3" s="13">
        <v>0.0002546296296296296</v>
      </c>
      <c r="Y3" s="13">
        <v>0.000150462962962963</v>
      </c>
      <c r="Z3" s="13">
        <v>0.000150462962962963</v>
      </c>
      <c r="AA3" s="13">
        <v>0.0002199074074074074</v>
      </c>
      <c r="AB3" s="13">
        <v>0.0001273148148148148</v>
      </c>
      <c r="AC3" s="13">
        <v>4.629629629629629E-05</v>
      </c>
      <c r="AD3" s="13">
        <v>0.0005787037037037037</v>
      </c>
      <c r="AE3" s="13">
        <v>8.101851851851852E-05</v>
      </c>
      <c r="AF3" s="13">
        <v>3.472222222222222E-05</v>
      </c>
      <c r="AG3" s="13">
        <v>0.0004861111111111111</v>
      </c>
      <c r="AH3" s="13">
        <v>4.629629629629629E-05</v>
      </c>
      <c r="AI3" s="13">
        <v>8.101851851851852E-05</v>
      </c>
      <c r="AJ3" s="13">
        <v>0.000162037037037037</v>
      </c>
      <c r="AK3" s="13" t="s">
        <v>224</v>
      </c>
      <c r="AL3" s="13" t="s">
        <v>224</v>
      </c>
    </row>
    <row r="4" spans="1:38" ht="20" customHeight="1">
      <c r="A4" s="7">
        <v>3</v>
      </c>
      <c r="B4" s="8" t="s">
        <v>17</v>
      </c>
      <c r="C4" s="7" t="s">
        <v>13</v>
      </c>
      <c r="D4" s="7" t="s">
        <v>14</v>
      </c>
      <c r="E4" s="7" t="s">
        <v>18</v>
      </c>
      <c r="F4" s="9">
        <v>0.0001041666666666667</v>
      </c>
      <c r="G4" s="9">
        <v>8.101851851851852E-05</v>
      </c>
      <c r="H4" s="9">
        <v>0.0001273148148148148</v>
      </c>
      <c r="I4" s="9">
        <v>0.0001273148148148148</v>
      </c>
      <c r="J4" s="9">
        <v>8.101851851851852E-05</v>
      </c>
      <c r="K4" s="9">
        <v>0.0002546296296296296</v>
      </c>
      <c r="L4" s="9">
        <v>9.259259259259259E-05</v>
      </c>
      <c r="M4" s="9">
        <v>9.259259259259259E-05</v>
      </c>
      <c r="N4" s="9">
        <v>2.314814814814815E-05</v>
      </c>
      <c r="O4" s="9">
        <v>4.629629629629629E-05</v>
      </c>
      <c r="P4" s="9">
        <v>9.259259259259259E-05</v>
      </c>
      <c r="Q4" s="9">
        <v>0.0001041666666666667</v>
      </c>
      <c r="R4" s="9">
        <v>5.787037037037037E-05</v>
      </c>
      <c r="S4" s="9">
        <v>0.0002777777777777778</v>
      </c>
      <c r="T4" s="9">
        <v>0.0001388888888888889</v>
      </c>
      <c r="U4" s="9">
        <v>0.0003703703703703704</v>
      </c>
      <c r="V4" s="9">
        <v>5.787037037037037E-05</v>
      </c>
      <c r="W4" s="9">
        <v>0.0003356481481481481</v>
      </c>
      <c r="X4" s="9">
        <v>0.000162037037037037</v>
      </c>
      <c r="Y4" s="9">
        <v>0.0003356481481481481</v>
      </c>
      <c r="Z4" s="9">
        <v>0.0003125</v>
      </c>
      <c r="AA4" s="9">
        <v>0.0002662037037037037</v>
      </c>
      <c r="AB4" s="9">
        <v>0.000150462962962963</v>
      </c>
      <c r="AC4" s="9">
        <v>5.787037037037037E-05</v>
      </c>
      <c r="AD4" s="9">
        <v>0.000162037037037037</v>
      </c>
      <c r="AE4" s="9">
        <v>8.101851851851852E-05</v>
      </c>
      <c r="AF4" s="9">
        <v>0.0004398148148148148</v>
      </c>
      <c r="AG4" s="9">
        <v>0.0002777777777777778</v>
      </c>
      <c r="AH4" s="9">
        <v>0.0004976851851851852</v>
      </c>
      <c r="AI4" s="9">
        <v>0.0001157407407407407</v>
      </c>
      <c r="AJ4" s="9">
        <v>0.0002199074074074074</v>
      </c>
      <c r="AK4" s="9" t="s">
        <v>224</v>
      </c>
      <c r="AL4" s="9" t="s">
        <v>224</v>
      </c>
    </row>
    <row r="5" spans="1:38" ht="20" customHeight="1">
      <c r="A5" s="11">
        <v>4</v>
      </c>
      <c r="B5" s="12" t="s">
        <v>19</v>
      </c>
      <c r="C5" s="11" t="s">
        <v>13</v>
      </c>
      <c r="D5" s="11" t="s">
        <v>14</v>
      </c>
      <c r="E5" s="11" t="s">
        <v>20</v>
      </c>
      <c r="F5" s="13">
        <v>9.259259259259259E-05</v>
      </c>
      <c r="G5" s="13">
        <v>2.314814814814815E-05</v>
      </c>
      <c r="H5" s="13">
        <v>6.944444444444444E-05</v>
      </c>
      <c r="I5" s="13">
        <v>1.157407407407407E-05</v>
      </c>
      <c r="J5" s="13">
        <v>0.0001157407407407407</v>
      </c>
      <c r="K5" s="13">
        <v>0.0001041666666666667</v>
      </c>
      <c r="L5" s="13">
        <v>2.314814814814815E-05</v>
      </c>
      <c r="M5" s="13">
        <v>1.157407407407407E-05</v>
      </c>
      <c r="N5" s="13">
        <v>0.0002893518518518518</v>
      </c>
      <c r="O5" s="13">
        <v>0.0001157407407407407</v>
      </c>
      <c r="P5" s="13">
        <v>0.000150462962962963</v>
      </c>
      <c r="Q5" s="13">
        <v>0.000162037037037037</v>
      </c>
      <c r="R5" s="13">
        <v>9.259259259259259E-05</v>
      </c>
      <c r="S5" s="13">
        <v>4.629629629629629E-05</v>
      </c>
      <c r="T5" s="13">
        <v>4.629629629629629E-05</v>
      </c>
      <c r="U5" s="13">
        <v>0.0001388888888888889</v>
      </c>
      <c r="V5" s="13">
        <v>0.0001157407407407407</v>
      </c>
      <c r="W5" s="13">
        <v>8.101851851851852E-05</v>
      </c>
      <c r="X5" s="13">
        <v>0.0002546296296296296</v>
      </c>
      <c r="Y5" s="13">
        <v>0.000474537037037037</v>
      </c>
      <c r="Z5" s="13">
        <v>0.0002430555555555555</v>
      </c>
      <c r="AA5" s="13">
        <v>0.0002430555555555555</v>
      </c>
      <c r="AB5" s="13">
        <v>9.259259259259259E-05</v>
      </c>
      <c r="AC5" s="13">
        <v>4.629629629629629E-05</v>
      </c>
      <c r="AD5" s="13">
        <v>9.259259259259259E-05</v>
      </c>
      <c r="AE5" s="13">
        <v>1.157407407407407E-05</v>
      </c>
      <c r="AF5" s="13">
        <v>0.0005324074074074074</v>
      </c>
      <c r="AG5" s="13">
        <v>0.0002777777777777778</v>
      </c>
      <c r="AH5" s="13">
        <v>0.0002777777777777778</v>
      </c>
      <c r="AI5" s="13">
        <v>5.787037037037037E-05</v>
      </c>
      <c r="AJ5" s="13">
        <v>0.0004166666666666667</v>
      </c>
      <c r="AK5" s="13" t="s">
        <v>224</v>
      </c>
      <c r="AL5" s="13" t="s">
        <v>224</v>
      </c>
    </row>
    <row r="6" spans="1:38" ht="20" customHeight="1">
      <c r="A6" s="7">
        <v>5</v>
      </c>
      <c r="B6" s="8" t="s">
        <v>21</v>
      </c>
      <c r="C6" s="7" t="s">
        <v>13</v>
      </c>
      <c r="D6" s="7" t="s">
        <v>14</v>
      </c>
      <c r="E6" s="7" t="s">
        <v>22</v>
      </c>
      <c r="F6" s="9">
        <v>4.629629629629629E-05</v>
      </c>
      <c r="G6" s="9">
        <v>4.629629629629629E-05</v>
      </c>
      <c r="H6" s="9">
        <v>1.157407407407407E-05</v>
      </c>
      <c r="I6" s="9">
        <v>3.472222222222222E-05</v>
      </c>
      <c r="J6" s="9">
        <v>0.0001041666666666667</v>
      </c>
      <c r="K6" s="9">
        <v>1.157407407407407E-05</v>
      </c>
      <c r="L6" s="9">
        <v>2.314814814814815E-05</v>
      </c>
      <c r="M6" s="9">
        <v>3.472222222222222E-05</v>
      </c>
      <c r="N6" s="9">
        <v>6.944444444444444E-05</v>
      </c>
      <c r="O6" s="9">
        <v>9.259259259259259E-05</v>
      </c>
      <c r="P6" s="9">
        <v>0.0001736111111111111</v>
      </c>
      <c r="Q6" s="9">
        <v>6.944444444444444E-05</v>
      </c>
      <c r="R6" s="9">
        <v>6.944444444444444E-05</v>
      </c>
      <c r="S6" s="9">
        <v>6.944444444444444E-05</v>
      </c>
      <c r="T6" s="9">
        <v>0.000150462962962963</v>
      </c>
      <c r="U6" s="9">
        <v>6.944444444444444E-05</v>
      </c>
      <c r="V6" s="9">
        <v>1.157407407407407E-05</v>
      </c>
      <c r="W6" s="9">
        <v>0.0001157407407407407</v>
      </c>
      <c r="X6" s="9">
        <v>0.0002083333333333333</v>
      </c>
      <c r="Y6" s="9">
        <v>0.0001041666666666667</v>
      </c>
      <c r="Z6" s="9">
        <v>0.0003009259259259259</v>
      </c>
      <c r="AA6" s="9">
        <v>0.0003240740740740741</v>
      </c>
      <c r="AB6" s="9">
        <v>0.0001157407407407407</v>
      </c>
      <c r="AC6" s="9">
        <v>8.101851851851852E-05</v>
      </c>
      <c r="AD6" s="9">
        <v>3.472222222222222E-05</v>
      </c>
      <c r="AE6" s="9">
        <v>0.0001388888888888889</v>
      </c>
      <c r="AF6" s="9">
        <v>5.787037037037037E-05</v>
      </c>
      <c r="AG6" s="9">
        <v>3.472222222222222E-05</v>
      </c>
      <c r="AH6" s="9">
        <v>0.0003703703703703704</v>
      </c>
      <c r="AI6" s="9">
        <v>6.944444444444444E-05</v>
      </c>
      <c r="AJ6" s="9">
        <v>0.0001273148148148148</v>
      </c>
      <c r="AK6" s="9" t="s">
        <v>224</v>
      </c>
      <c r="AL6" s="9" t="s">
        <v>224</v>
      </c>
    </row>
    <row r="7" spans="1:38" ht="20" customHeight="1">
      <c r="A7" s="11">
        <v>6</v>
      </c>
      <c r="B7" s="12" t="s">
        <v>23</v>
      </c>
      <c r="C7" s="11" t="s">
        <v>13</v>
      </c>
      <c r="D7" s="11" t="s">
        <v>14</v>
      </c>
      <c r="E7" s="11" t="s">
        <v>24</v>
      </c>
      <c r="F7" s="13">
        <v>2.314814814814815E-05</v>
      </c>
      <c r="G7" s="13">
        <v>4.629629629629629E-05</v>
      </c>
      <c r="H7" s="13">
        <v>3.472222222222222E-05</v>
      </c>
      <c r="I7" s="13">
        <v>0.000162037037037037</v>
      </c>
      <c r="J7" s="13">
        <v>4.629629629629629E-05</v>
      </c>
      <c r="K7" s="13">
        <v>9.259259259259259E-05</v>
      </c>
      <c r="L7" s="13">
        <v>2.314814814814815E-05</v>
      </c>
      <c r="M7" s="13">
        <v>4.629629629629629E-05</v>
      </c>
      <c r="N7" s="13">
        <v>6.944444444444444E-05</v>
      </c>
      <c r="O7" s="13">
        <v>0.000150462962962963</v>
      </c>
      <c r="P7" s="13">
        <v>0.0001041666666666667</v>
      </c>
      <c r="Q7" s="13">
        <v>0.0001273148148148148</v>
      </c>
      <c r="R7" s="13">
        <v>0.0001041666666666667</v>
      </c>
      <c r="S7" s="13">
        <v>0.0001157407407407407</v>
      </c>
      <c r="T7" s="13">
        <v>0.0001967592592592593</v>
      </c>
      <c r="U7" s="13">
        <v>0.0001041666666666667</v>
      </c>
      <c r="V7" s="13">
        <v>3.472222222222222E-05</v>
      </c>
      <c r="W7" s="13">
        <v>6.944444444444444E-05</v>
      </c>
      <c r="X7" s="13">
        <v>0.0001736111111111111</v>
      </c>
      <c r="Y7" s="13">
        <v>5.787037037037037E-05</v>
      </c>
      <c r="Z7" s="13">
        <v>0.0002430555555555555</v>
      </c>
      <c r="AA7" s="13">
        <v>0.0003356481481481481</v>
      </c>
      <c r="AB7" s="13">
        <v>0.0001157407407407407</v>
      </c>
      <c r="AC7" s="13">
        <v>0.0001967592592592593</v>
      </c>
      <c r="AD7" s="13">
        <v>3.472222222222222E-05</v>
      </c>
      <c r="AE7" s="13">
        <v>0.0001388888888888889</v>
      </c>
      <c r="AF7" s="13">
        <v>0.000162037037037037</v>
      </c>
      <c r="AG7" s="13">
        <v>0.0002893518518518518</v>
      </c>
      <c r="AH7" s="13">
        <v>0.0001273148148148148</v>
      </c>
      <c r="AI7" s="13">
        <v>0.000150462962962963</v>
      </c>
      <c r="AJ7" s="13">
        <v>4.629629629629629E-05</v>
      </c>
      <c r="AK7" s="13" t="s">
        <v>224</v>
      </c>
      <c r="AL7" s="13" t="s">
        <v>224</v>
      </c>
    </row>
    <row r="8" spans="1:38" ht="20" customHeight="1">
      <c r="A8" s="7">
        <v>7</v>
      </c>
      <c r="B8" s="8" t="s">
        <v>25</v>
      </c>
      <c r="C8" s="7" t="s">
        <v>13</v>
      </c>
      <c r="D8" s="7" t="s">
        <v>14</v>
      </c>
      <c r="E8" s="7" t="s">
        <v>26</v>
      </c>
      <c r="F8" s="9">
        <v>4.629629629629629E-05</v>
      </c>
      <c r="G8" s="9">
        <v>1.157407407407407E-05</v>
      </c>
      <c r="H8" s="9">
        <v>6.944444444444444E-05</v>
      </c>
      <c r="I8" s="9">
        <v>8.101851851851852E-05</v>
      </c>
      <c r="J8" s="9">
        <v>0.0001157407407407407</v>
      </c>
      <c r="K8" s="9">
        <v>0.0001273148148148148</v>
      </c>
      <c r="L8" s="9">
        <v>0.0002546296296296296</v>
      </c>
      <c r="M8" s="9">
        <v>6.944444444444444E-05</v>
      </c>
      <c r="N8" s="9">
        <v>1.157407407407407E-05</v>
      </c>
      <c r="O8" s="9">
        <v>0.0002662037037037037</v>
      </c>
      <c r="P8" s="9">
        <v>0.0001388888888888889</v>
      </c>
      <c r="Q8" s="9">
        <v>0.0003125</v>
      </c>
      <c r="R8" s="9">
        <v>0.0001157407407407407</v>
      </c>
      <c r="S8" s="9">
        <v>4.629629629629629E-05</v>
      </c>
      <c r="T8" s="9">
        <v>0.0002777777777777778</v>
      </c>
      <c r="U8" s="9">
        <v>5.787037037037037E-05</v>
      </c>
      <c r="V8" s="9">
        <v>2.314814814814815E-05</v>
      </c>
      <c r="W8" s="9">
        <v>0.0005902777777777778</v>
      </c>
      <c r="X8" s="9">
        <v>0.0005208333333333333</v>
      </c>
      <c r="Y8" s="9">
        <v>0.0004398148148148148</v>
      </c>
      <c r="Z8" s="9">
        <v>0.0003703703703703704</v>
      </c>
      <c r="AA8" s="9">
        <v>0.0004513888888888889</v>
      </c>
      <c r="AB8" s="9">
        <v>0.000162037037037037</v>
      </c>
      <c r="AC8" s="9">
        <v>0.0002314814814814815</v>
      </c>
      <c r="AD8" s="9">
        <v>5.787037037037037E-05</v>
      </c>
      <c r="AE8" s="9">
        <v>0.0001851851851851852</v>
      </c>
      <c r="AF8" s="9">
        <v>4.629629629629629E-05</v>
      </c>
      <c r="AG8" s="9">
        <v>0.0002662037037037037</v>
      </c>
      <c r="AH8" s="9">
        <v>0.0005208333333333333</v>
      </c>
      <c r="AI8" s="9">
        <v>2.314814814814815E-05</v>
      </c>
      <c r="AJ8" s="9">
        <v>6.944444444444444E-05</v>
      </c>
      <c r="AK8" s="9" t="s">
        <v>224</v>
      </c>
      <c r="AL8" s="9" t="s">
        <v>224</v>
      </c>
    </row>
    <row r="9" spans="1:38" ht="20" customHeight="1">
      <c r="A9" s="11">
        <v>8</v>
      </c>
      <c r="B9" s="12" t="s">
        <v>27</v>
      </c>
      <c r="C9" s="11" t="s">
        <v>13</v>
      </c>
      <c r="D9" s="11" t="s">
        <v>14</v>
      </c>
      <c r="E9" s="11" t="s">
        <v>28</v>
      </c>
      <c r="F9" s="13">
        <v>4.629629629629629E-05</v>
      </c>
      <c r="G9" s="13">
        <v>1.157407407407407E-05</v>
      </c>
      <c r="H9" s="13">
        <v>5.787037037037037E-05</v>
      </c>
      <c r="I9" s="13">
        <v>0.0001388888888888889</v>
      </c>
      <c r="J9" s="13">
        <v>0.000162037037037037</v>
      </c>
      <c r="K9" s="13">
        <v>9.259259259259259E-05</v>
      </c>
      <c r="L9" s="13">
        <v>2.314814814814815E-05</v>
      </c>
      <c r="M9" s="13">
        <v>0.0001041666666666667</v>
      </c>
      <c r="N9" s="13">
        <v>0.0002083333333333333</v>
      </c>
      <c r="O9" s="13">
        <v>3.472222222222222E-05</v>
      </c>
      <c r="P9" s="13">
        <v>0.000150462962962963</v>
      </c>
      <c r="Q9" s="13">
        <v>6.944444444444444E-05</v>
      </c>
      <c r="R9" s="13">
        <v>0.0006712962962962962</v>
      </c>
      <c r="S9" s="13">
        <v>2.314814814814815E-05</v>
      </c>
      <c r="T9" s="13">
        <v>3.472222222222222E-05</v>
      </c>
      <c r="U9" s="13">
        <v>0.0002662037037037037</v>
      </c>
      <c r="V9" s="13">
        <v>2.314814814814815E-05</v>
      </c>
      <c r="W9" s="13">
        <v>9.259259259259259E-05</v>
      </c>
      <c r="X9" s="13">
        <v>5.787037037037037E-05</v>
      </c>
      <c r="Y9" s="13">
        <v>0.000162037037037037</v>
      </c>
      <c r="Z9" s="13">
        <v>0.0003125</v>
      </c>
      <c r="AA9" s="13">
        <v>0.0002199074074074074</v>
      </c>
      <c r="AB9" s="13">
        <v>6.944444444444444E-05</v>
      </c>
      <c r="AC9" s="13">
        <v>5.787037037037037E-05</v>
      </c>
      <c r="AD9" s="13">
        <v>0.0002199074074074074</v>
      </c>
      <c r="AE9" s="13">
        <v>0.0001273148148148148</v>
      </c>
      <c r="AF9" s="13">
        <v>0.0005671296296296297</v>
      </c>
      <c r="AG9" s="13">
        <v>8.101851851851852E-05</v>
      </c>
      <c r="AH9" s="13">
        <v>0.0007060185185185185</v>
      </c>
      <c r="AI9" s="13">
        <v>1.157407407407407E-05</v>
      </c>
      <c r="AJ9" s="13">
        <v>0.0003009259259259259</v>
      </c>
      <c r="AK9" s="13" t="s">
        <v>224</v>
      </c>
      <c r="AL9" s="13" t="s">
        <v>224</v>
      </c>
    </row>
    <row r="10" spans="1:38" ht="20" customHeight="1">
      <c r="A10" s="7">
        <v>9</v>
      </c>
      <c r="B10" s="8" t="s">
        <v>29</v>
      </c>
      <c r="C10" s="7" t="s">
        <v>13</v>
      </c>
      <c r="D10" s="7" t="s">
        <v>14</v>
      </c>
      <c r="E10" s="7" t="s">
        <v>30</v>
      </c>
      <c r="F10" s="9">
        <v>3.472222222222222E-05</v>
      </c>
      <c r="G10" s="9">
        <v>2.314814814814815E-05</v>
      </c>
      <c r="H10" s="9">
        <v>4.629629629629629E-05</v>
      </c>
      <c r="I10" s="9">
        <v>6.944444444444444E-05</v>
      </c>
      <c r="J10" s="9">
        <v>9.259259259259259E-05</v>
      </c>
      <c r="K10" s="9">
        <v>4.629629629629629E-05</v>
      </c>
      <c r="L10" s="9">
        <v>0.0001388888888888889</v>
      </c>
      <c r="M10" s="9">
        <v>2.314814814814815E-05</v>
      </c>
      <c r="N10" s="9">
        <v>0.0001388888888888889</v>
      </c>
      <c r="O10" s="9">
        <v>3.472222222222222E-05</v>
      </c>
      <c r="P10" s="9">
        <v>0.0002893518518518518</v>
      </c>
      <c r="Q10" s="9">
        <v>3.472222222222222E-05</v>
      </c>
      <c r="R10" s="9">
        <v>8.101851851851852E-05</v>
      </c>
      <c r="S10" s="9">
        <v>3.472222222222222E-05</v>
      </c>
      <c r="T10" s="9">
        <v>0.0002083333333333333</v>
      </c>
      <c r="U10" s="9">
        <v>0.0001967592592592593</v>
      </c>
      <c r="V10" s="9">
        <v>0.0003587962962962963</v>
      </c>
      <c r="W10" s="9">
        <v>0.0004050925925925926</v>
      </c>
      <c r="X10" s="9">
        <v>0.0002546296296296296</v>
      </c>
      <c r="Y10" s="9">
        <v>0.0004976851851851852</v>
      </c>
      <c r="Z10" s="9">
        <v>0.0004166666666666667</v>
      </c>
      <c r="AA10" s="9">
        <v>0.0003240740740740741</v>
      </c>
      <c r="AB10" s="9">
        <v>0.0003935185185185185</v>
      </c>
      <c r="AC10" s="9">
        <v>9.259259259259259E-05</v>
      </c>
      <c r="AD10" s="9">
        <v>0.0001736111111111111</v>
      </c>
      <c r="AE10" s="9">
        <v>0.0002430555555555555</v>
      </c>
      <c r="AF10" s="9">
        <v>0.0003935185185185185</v>
      </c>
      <c r="AG10" s="9">
        <v>0.0001736111111111111</v>
      </c>
      <c r="AH10" s="9">
        <v>0.0001851851851851852</v>
      </c>
      <c r="AI10" s="9">
        <v>8.101851851851852E-05</v>
      </c>
      <c r="AJ10" s="9">
        <v>0.0005324074074074074</v>
      </c>
      <c r="AK10" s="9" t="s">
        <v>224</v>
      </c>
      <c r="AL10" s="9" t="s">
        <v>224</v>
      </c>
    </row>
    <row r="11" spans="1:38" ht="20" customHeight="1">
      <c r="A11" s="11">
        <v>10</v>
      </c>
      <c r="B11" s="12" t="s">
        <v>31</v>
      </c>
      <c r="C11" s="11" t="s">
        <v>13</v>
      </c>
      <c r="D11" s="11" t="s">
        <v>32</v>
      </c>
      <c r="E11" s="11" t="s">
        <v>26</v>
      </c>
      <c r="F11" s="13">
        <v>8.101851851851852E-05</v>
      </c>
      <c r="G11" s="13">
        <v>8.101851851851852E-05</v>
      </c>
      <c r="H11" s="13">
        <v>1.157407407407407E-05</v>
      </c>
      <c r="I11" s="13">
        <v>1.157407407407407E-05</v>
      </c>
      <c r="J11" s="13">
        <v>0.0001388888888888889</v>
      </c>
      <c r="K11" s="13">
        <v>2.314814814814815E-05</v>
      </c>
      <c r="L11" s="13">
        <v>0.0001851851851851852</v>
      </c>
      <c r="M11" s="13">
        <v>2.314814814814815E-05</v>
      </c>
      <c r="N11" s="13">
        <v>9.259259259259259E-05</v>
      </c>
      <c r="O11" s="13">
        <v>3.472222222222222E-05</v>
      </c>
      <c r="P11" s="13">
        <v>9.259259259259259E-05</v>
      </c>
      <c r="Q11" s="13">
        <v>3.472222222222222E-05</v>
      </c>
      <c r="R11" s="13">
        <v>0.000162037037037037</v>
      </c>
      <c r="S11" s="13">
        <v>3.472222222222222E-05</v>
      </c>
      <c r="T11" s="13">
        <v>2.314814814814815E-05</v>
      </c>
      <c r="U11" s="13">
        <v>9.259259259259259E-05</v>
      </c>
      <c r="V11" s="13">
        <v>0.0004513888888888889</v>
      </c>
      <c r="W11" s="13">
        <v>3.472222222222222E-05</v>
      </c>
      <c r="X11" s="13">
        <v>4.629629629629629E-05</v>
      </c>
      <c r="Y11" s="13">
        <v>0.0002430555555555555</v>
      </c>
      <c r="Z11" s="13">
        <v>2.314814814814815E-05</v>
      </c>
      <c r="AA11" s="13">
        <v>3.472222222222222E-05</v>
      </c>
      <c r="AB11" s="13">
        <v>4.629629629629629E-05</v>
      </c>
      <c r="AC11" s="13">
        <v>3.472222222222222E-05</v>
      </c>
      <c r="AD11" s="13">
        <v>0.0002083333333333333</v>
      </c>
      <c r="AE11" s="13">
        <v>3.472222222222222E-05</v>
      </c>
      <c r="AF11" s="13">
        <v>4.629629629629629E-05</v>
      </c>
      <c r="AG11" s="13">
        <v>3.472222222222222E-05</v>
      </c>
      <c r="AH11" s="13">
        <v>2.314814814814815E-05</v>
      </c>
      <c r="AI11" s="13">
        <v>0.0001041666666666667</v>
      </c>
      <c r="AJ11" s="13">
        <v>0.0006712962962962962</v>
      </c>
      <c r="AK11" s="13" t="s">
        <v>224</v>
      </c>
      <c r="AL11" s="13" t="s">
        <v>224</v>
      </c>
    </row>
    <row r="12" spans="1:38" ht="20" customHeight="1">
      <c r="A12" s="7">
        <v>11</v>
      </c>
      <c r="B12" s="8" t="s">
        <v>33</v>
      </c>
      <c r="C12" s="7" t="s">
        <v>13</v>
      </c>
      <c r="D12" s="7" t="s">
        <v>32</v>
      </c>
      <c r="E12" s="7" t="s">
        <v>34</v>
      </c>
      <c r="F12" s="9">
        <v>1.157407407407407E-05</v>
      </c>
      <c r="G12" s="9">
        <v>3.472222222222222E-05</v>
      </c>
      <c r="H12" s="9">
        <v>0.0001157407407407407</v>
      </c>
      <c r="I12" s="9">
        <v>8.101851851851852E-05</v>
      </c>
      <c r="J12" s="9">
        <v>5.787037037037037E-05</v>
      </c>
      <c r="K12" s="9">
        <v>2.314814814814815E-05</v>
      </c>
      <c r="L12" s="9">
        <v>8.101851851851852E-05</v>
      </c>
      <c r="M12" s="9">
        <v>8.101851851851852E-05</v>
      </c>
      <c r="N12" s="9">
        <v>3.472222222222222E-05</v>
      </c>
      <c r="O12" s="9">
        <v>3.472222222222222E-05</v>
      </c>
      <c r="P12" s="9">
        <v>8.101851851851852E-05</v>
      </c>
      <c r="Q12" s="9">
        <v>0.000162037037037037</v>
      </c>
      <c r="R12" s="9">
        <v>0.000150462962962963</v>
      </c>
      <c r="S12" s="9">
        <v>0.0001388888888888889</v>
      </c>
      <c r="T12" s="9">
        <v>8.101851851851852E-05</v>
      </c>
      <c r="U12" s="9">
        <v>0.0001967592592592593</v>
      </c>
      <c r="V12" s="9">
        <v>0.0004282407407407408</v>
      </c>
      <c r="W12" s="9">
        <v>6.944444444444444E-05</v>
      </c>
      <c r="X12" s="9">
        <v>0.000162037037037037</v>
      </c>
      <c r="Y12" s="9">
        <v>0.0002662037037037037</v>
      </c>
      <c r="Z12" s="9">
        <v>0.000462962962962963</v>
      </c>
      <c r="AA12" s="9">
        <v>0.0002430555555555555</v>
      </c>
      <c r="AB12" s="9">
        <v>0.0004050925925925926</v>
      </c>
      <c r="AC12" s="9">
        <v>5.787037037037037E-05</v>
      </c>
      <c r="AD12" s="9">
        <v>5.787037037037037E-05</v>
      </c>
      <c r="AE12" s="9">
        <v>0.0001157407407407407</v>
      </c>
      <c r="AF12" s="9">
        <v>8.101851851851852E-05</v>
      </c>
      <c r="AG12" s="9">
        <v>4.629629629629629E-05</v>
      </c>
      <c r="AH12" s="9">
        <v>0.000162037037037037</v>
      </c>
      <c r="AI12" s="9">
        <v>5.787037037037037E-05</v>
      </c>
      <c r="AJ12" s="9">
        <v>8.101851851851852E-05</v>
      </c>
      <c r="AK12" s="9" t="s">
        <v>224</v>
      </c>
      <c r="AL12" s="9" t="s">
        <v>224</v>
      </c>
    </row>
    <row r="13" spans="1:38" ht="20" customHeight="1">
      <c r="A13" s="11">
        <v>12</v>
      </c>
      <c r="B13" s="12" t="s">
        <v>35</v>
      </c>
      <c r="C13" s="11" t="s">
        <v>13</v>
      </c>
      <c r="D13" s="11" t="s">
        <v>14</v>
      </c>
      <c r="E13" s="11" t="s">
        <v>36</v>
      </c>
      <c r="F13" s="13">
        <v>2.314814814814815E-05</v>
      </c>
      <c r="G13" s="13">
        <v>1.157407407407407E-05</v>
      </c>
      <c r="H13" s="13">
        <v>2.314814814814815E-05</v>
      </c>
      <c r="I13" s="13">
        <v>6.944444444444444E-05</v>
      </c>
      <c r="J13" s="13">
        <v>0.0001041666666666667</v>
      </c>
      <c r="K13" s="13">
        <v>8.101851851851852E-05</v>
      </c>
      <c r="L13" s="13">
        <v>3.472222222222222E-05</v>
      </c>
      <c r="M13" s="13">
        <v>8.101851851851852E-05</v>
      </c>
      <c r="N13" s="13">
        <v>9.259259259259259E-05</v>
      </c>
      <c r="O13" s="13">
        <v>5.787037037037037E-05</v>
      </c>
      <c r="P13" s="13">
        <v>8.101851851851852E-05</v>
      </c>
      <c r="Q13" s="13">
        <v>0.0001041666666666667</v>
      </c>
      <c r="R13" s="13">
        <v>0.0001157407407407407</v>
      </c>
      <c r="S13" s="13">
        <v>0.0001273148148148148</v>
      </c>
      <c r="T13" s="13">
        <v>5.787037037037037E-05</v>
      </c>
      <c r="U13" s="13">
        <v>9.259259259259259E-05</v>
      </c>
      <c r="V13" s="13">
        <v>0.000162037037037037</v>
      </c>
      <c r="W13" s="13">
        <v>0.0001157407407407407</v>
      </c>
      <c r="X13" s="13">
        <v>0.000150462962962963</v>
      </c>
      <c r="Y13" s="13">
        <v>0.0001851851851851852</v>
      </c>
      <c r="Z13" s="13">
        <v>0.0002314814814814815</v>
      </c>
      <c r="AA13" s="13">
        <v>0.0002777777777777778</v>
      </c>
      <c r="AB13" s="13">
        <v>0.0002083333333333333</v>
      </c>
      <c r="AC13" s="13">
        <v>0.0001388888888888889</v>
      </c>
      <c r="AD13" s="13">
        <v>6.944444444444444E-05</v>
      </c>
      <c r="AE13" s="13">
        <v>0.0003125</v>
      </c>
      <c r="AF13" s="13">
        <v>0.0002430555555555555</v>
      </c>
      <c r="AG13" s="13">
        <v>3.472222222222222E-05</v>
      </c>
      <c r="AH13" s="13">
        <v>0.0001851851851851852</v>
      </c>
      <c r="AI13" s="13">
        <v>0.0001273148148148148</v>
      </c>
      <c r="AJ13" s="13">
        <v>8.101851851851852E-05</v>
      </c>
      <c r="AK13" s="13" t="s">
        <v>224</v>
      </c>
      <c r="AL13" s="13" t="s">
        <v>224</v>
      </c>
    </row>
    <row r="14" spans="1:38" ht="20" customHeight="1">
      <c r="A14" s="7">
        <v>13</v>
      </c>
      <c r="B14" s="8" t="s">
        <v>37</v>
      </c>
      <c r="C14" s="7" t="s">
        <v>13</v>
      </c>
      <c r="D14" s="7" t="s">
        <v>38</v>
      </c>
      <c r="E14" s="7" t="s">
        <v>24</v>
      </c>
      <c r="F14" s="9">
        <v>5.787037037037037E-05</v>
      </c>
      <c r="G14" s="9">
        <v>2.314814814814815E-05</v>
      </c>
      <c r="H14" s="9">
        <v>1.157407407407407E-05</v>
      </c>
      <c r="I14" s="9">
        <v>4.629629629629629E-05</v>
      </c>
      <c r="J14" s="9">
        <v>6.944444444444444E-05</v>
      </c>
      <c r="K14" s="9">
        <v>3.472222222222222E-05</v>
      </c>
      <c r="L14" s="9">
        <v>3.472222222222222E-05</v>
      </c>
      <c r="M14" s="9">
        <v>0.000150462962962963</v>
      </c>
      <c r="N14" s="9">
        <v>3.472222222222222E-05</v>
      </c>
      <c r="O14" s="9">
        <v>9.259259259259259E-05</v>
      </c>
      <c r="P14" s="9">
        <v>9.259259259259259E-05</v>
      </c>
      <c r="Q14" s="9">
        <v>8.101851851851852E-05</v>
      </c>
      <c r="R14" s="9">
        <v>4.629629629629629E-05</v>
      </c>
      <c r="S14" s="9">
        <v>0.0001041666666666667</v>
      </c>
      <c r="T14" s="9">
        <v>0.0001851851851851852</v>
      </c>
      <c r="U14" s="9">
        <v>9.259259259259259E-05</v>
      </c>
      <c r="V14" s="9">
        <v>5.787037037037037E-05</v>
      </c>
      <c r="W14" s="9">
        <v>0.0001273148148148148</v>
      </c>
      <c r="X14" s="9">
        <v>0.0001273148148148148</v>
      </c>
      <c r="Y14" s="9">
        <v>0.0001736111111111111</v>
      </c>
      <c r="Z14" s="9">
        <v>3.472222222222222E-05</v>
      </c>
      <c r="AA14" s="9">
        <v>0.0001157407407407407</v>
      </c>
      <c r="AB14" s="9">
        <v>0.000150462962962963</v>
      </c>
      <c r="AC14" s="9">
        <v>0.0001157407407407407</v>
      </c>
      <c r="AD14" s="9">
        <v>0.0002314814814814815</v>
      </c>
      <c r="AE14" s="9">
        <v>0.000162037037037037</v>
      </c>
      <c r="AF14" s="9">
        <v>0.0004861111111111111</v>
      </c>
      <c r="AG14" s="9" t="s">
        <v>224</v>
      </c>
      <c r="AH14" s="9" t="s">
        <v>224</v>
      </c>
      <c r="AI14" s="9" t="s">
        <v>224</v>
      </c>
      <c r="AJ14" s="9" t="s">
        <v>224</v>
      </c>
      <c r="AK14" s="9" t="s">
        <v>224</v>
      </c>
      <c r="AL14" s="9" t="s">
        <v>224</v>
      </c>
    </row>
    <row r="15" spans="1:38" ht="20" customHeight="1">
      <c r="A15" s="11">
        <v>14</v>
      </c>
      <c r="B15" s="12" t="s">
        <v>39</v>
      </c>
      <c r="C15" s="11" t="s">
        <v>13</v>
      </c>
      <c r="D15" s="11" t="s">
        <v>40</v>
      </c>
      <c r="E15" s="11" t="s">
        <v>34</v>
      </c>
      <c r="F15" s="13">
        <v>4.629629629629629E-05</v>
      </c>
      <c r="G15" s="13">
        <v>3.472222222222222E-05</v>
      </c>
      <c r="H15" s="13">
        <v>8.101851851851852E-05</v>
      </c>
      <c r="I15" s="13">
        <v>4.629629629629629E-05</v>
      </c>
      <c r="J15" s="13">
        <v>4.629629629629629E-05</v>
      </c>
      <c r="K15" s="13">
        <v>2.314814814814815E-05</v>
      </c>
      <c r="L15" s="13">
        <v>0.000150462962962963</v>
      </c>
      <c r="M15" s="13">
        <v>8.101851851851852E-05</v>
      </c>
      <c r="N15" s="13">
        <v>9.259259259259259E-05</v>
      </c>
      <c r="O15" s="13">
        <v>3.472222222222222E-05</v>
      </c>
      <c r="P15" s="13">
        <v>2.314814814814815E-05</v>
      </c>
      <c r="Q15" s="13">
        <v>2.314814814814815E-05</v>
      </c>
      <c r="R15" s="13">
        <v>6.944444444444444E-05</v>
      </c>
      <c r="S15" s="13">
        <v>0.0001967592592592593</v>
      </c>
      <c r="T15" s="13">
        <v>3.472222222222222E-05</v>
      </c>
      <c r="U15" s="13">
        <v>0.0001388888888888889</v>
      </c>
      <c r="V15" s="13">
        <v>0.0003125</v>
      </c>
      <c r="W15" s="13">
        <v>0.0002662037037037037</v>
      </c>
      <c r="X15" s="13">
        <v>0.0001736111111111111</v>
      </c>
      <c r="Y15" s="13">
        <v>0.0002777777777777778</v>
      </c>
      <c r="Z15" s="13">
        <v>0.0002662037037037037</v>
      </c>
      <c r="AA15" s="13">
        <v>0.0002777777777777778</v>
      </c>
      <c r="AB15" s="13">
        <v>4.629629629629629E-05</v>
      </c>
      <c r="AC15" s="13">
        <v>3.472222222222222E-05</v>
      </c>
      <c r="AD15" s="13">
        <v>2.314814814814815E-05</v>
      </c>
      <c r="AE15" s="13">
        <v>0.0001736111111111111</v>
      </c>
      <c r="AF15" s="13" t="s">
        <v>224</v>
      </c>
      <c r="AG15" s="13" t="s">
        <v>224</v>
      </c>
      <c r="AH15" s="13" t="s">
        <v>224</v>
      </c>
      <c r="AI15" s="13" t="s">
        <v>224</v>
      </c>
      <c r="AJ15" s="13" t="s">
        <v>224</v>
      </c>
      <c r="AK15" s="13" t="s">
        <v>224</v>
      </c>
      <c r="AL15" s="13" t="s">
        <v>224</v>
      </c>
    </row>
    <row r="16" spans="1:38" ht="20" customHeight="1">
      <c r="A16" s="7">
        <v>15</v>
      </c>
      <c r="B16" s="8" t="s">
        <v>41</v>
      </c>
      <c r="C16" s="7" t="s">
        <v>13</v>
      </c>
      <c r="D16" s="7" t="s">
        <v>40</v>
      </c>
      <c r="E16" s="7" t="s">
        <v>42</v>
      </c>
      <c r="F16" s="9">
        <v>3.472222222222222E-05</v>
      </c>
      <c r="G16" s="9">
        <v>4.629629629629629E-05</v>
      </c>
      <c r="H16" s="9">
        <v>3.472222222222222E-05</v>
      </c>
      <c r="I16" s="9">
        <v>4.629629629629629E-05</v>
      </c>
      <c r="J16" s="9">
        <v>5.787037037037037E-05</v>
      </c>
      <c r="K16" s="9">
        <v>1.157407407407407E-05</v>
      </c>
      <c r="L16" s="9">
        <v>0.0001967592592592593</v>
      </c>
      <c r="M16" s="9">
        <v>0.000150462962962963</v>
      </c>
      <c r="N16" s="9">
        <v>0.0001388888888888889</v>
      </c>
      <c r="O16" s="9">
        <v>6.944444444444444E-05</v>
      </c>
      <c r="P16" s="9">
        <v>0.000162037037037037</v>
      </c>
      <c r="Q16" s="9">
        <v>5.787037037037037E-05</v>
      </c>
      <c r="R16" s="9">
        <v>4.629629629629629E-05</v>
      </c>
      <c r="S16" s="9">
        <v>0.0001388888888888889</v>
      </c>
      <c r="T16" s="9">
        <v>2.314814814814815E-05</v>
      </c>
      <c r="U16" s="9">
        <v>9.259259259259259E-05</v>
      </c>
      <c r="V16" s="9">
        <v>0.0002199074074074074</v>
      </c>
      <c r="W16" s="9">
        <v>0.0001041666666666667</v>
      </c>
      <c r="X16" s="9">
        <v>0.0001273148148148148</v>
      </c>
      <c r="Y16" s="9">
        <v>0.0003819444444444445</v>
      </c>
      <c r="Z16" s="9">
        <v>0.0003819444444444445</v>
      </c>
      <c r="AA16" s="9">
        <v>0.0003819444444444445</v>
      </c>
      <c r="AB16" s="9">
        <v>0.0001157407407407407</v>
      </c>
      <c r="AC16" s="9">
        <v>5.787037037037037E-05</v>
      </c>
      <c r="AD16" s="9">
        <v>5.787037037037037E-05</v>
      </c>
      <c r="AE16" s="9">
        <v>0.0001157407407407407</v>
      </c>
      <c r="AF16" s="9" t="s">
        <v>224</v>
      </c>
      <c r="AG16" s="9" t="s">
        <v>224</v>
      </c>
      <c r="AH16" s="9" t="s">
        <v>224</v>
      </c>
      <c r="AI16" s="9" t="s">
        <v>224</v>
      </c>
      <c r="AJ16" s="9" t="s">
        <v>224</v>
      </c>
      <c r="AK16" s="9" t="s">
        <v>224</v>
      </c>
      <c r="AL16" s="9" t="s">
        <v>224</v>
      </c>
    </row>
    <row r="17" spans="1:38" ht="20" customHeight="1">
      <c r="A17" s="11">
        <v>16</v>
      </c>
      <c r="B17" s="12" t="s">
        <v>43</v>
      </c>
      <c r="C17" s="11" t="s">
        <v>13</v>
      </c>
      <c r="D17" s="11" t="s">
        <v>40</v>
      </c>
      <c r="E17" s="11" t="s">
        <v>44</v>
      </c>
      <c r="F17" s="13">
        <v>2.314814814814815E-05</v>
      </c>
      <c r="G17" s="13">
        <v>6.944444444444444E-05</v>
      </c>
      <c r="H17" s="13">
        <v>2.314814814814815E-05</v>
      </c>
      <c r="I17" s="13">
        <v>2.314814814814815E-05</v>
      </c>
      <c r="J17" s="13">
        <v>2.314814814814815E-05</v>
      </c>
      <c r="K17" s="13">
        <v>9.259259259259259E-05</v>
      </c>
      <c r="L17" s="13">
        <v>2.314814814814815E-05</v>
      </c>
      <c r="M17" s="13">
        <v>6.944444444444444E-05</v>
      </c>
      <c r="N17" s="13">
        <v>3.472222222222222E-05</v>
      </c>
      <c r="O17" s="13">
        <v>3.472222222222222E-05</v>
      </c>
      <c r="P17" s="13">
        <v>9.259259259259259E-05</v>
      </c>
      <c r="Q17" s="13">
        <v>0.0001157407407407407</v>
      </c>
      <c r="R17" s="13">
        <v>2.314814814814815E-05</v>
      </c>
      <c r="S17" s="13">
        <v>4.629629629629629E-05</v>
      </c>
      <c r="T17" s="13">
        <v>2.314814814814815E-05</v>
      </c>
      <c r="U17" s="13">
        <v>3.472222222222222E-05</v>
      </c>
      <c r="V17" s="13">
        <v>3.472222222222222E-05</v>
      </c>
      <c r="W17" s="13">
        <v>4.629629629629629E-05</v>
      </c>
      <c r="X17" s="13">
        <v>8.101851851851852E-05</v>
      </c>
      <c r="Y17" s="13">
        <v>9.259259259259259E-05</v>
      </c>
      <c r="Z17" s="13">
        <v>8.101851851851852E-05</v>
      </c>
      <c r="AA17" s="13">
        <v>0.0001041666666666667</v>
      </c>
      <c r="AB17" s="13">
        <v>3.472222222222222E-05</v>
      </c>
      <c r="AC17" s="13">
        <v>4.629629629629629E-05</v>
      </c>
      <c r="AD17" s="13">
        <v>3.472222222222222E-05</v>
      </c>
      <c r="AE17" s="13">
        <v>8.101851851851852E-05</v>
      </c>
      <c r="AF17" s="13" t="s">
        <v>224</v>
      </c>
      <c r="AG17" s="13" t="s">
        <v>224</v>
      </c>
      <c r="AH17" s="13" t="s">
        <v>224</v>
      </c>
      <c r="AI17" s="13" t="s">
        <v>224</v>
      </c>
      <c r="AJ17" s="13" t="s">
        <v>224</v>
      </c>
      <c r="AK17" s="13" t="s">
        <v>224</v>
      </c>
      <c r="AL17" s="13" t="s">
        <v>224</v>
      </c>
    </row>
    <row r="18" spans="1:38" ht="20" customHeight="1">
      <c r="A18" s="7">
        <v>17</v>
      </c>
      <c r="B18" s="8" t="s">
        <v>45</v>
      </c>
      <c r="C18" s="7" t="s">
        <v>13</v>
      </c>
      <c r="D18" s="7" t="s">
        <v>46</v>
      </c>
      <c r="E18" s="7" t="s">
        <v>47</v>
      </c>
      <c r="F18" s="9">
        <v>4.629629629629629E-05</v>
      </c>
      <c r="G18" s="9">
        <v>2.314814814814815E-05</v>
      </c>
      <c r="H18" s="9">
        <v>2.314814814814815E-05</v>
      </c>
      <c r="I18" s="9">
        <v>1.157407407407407E-05</v>
      </c>
      <c r="J18" s="9">
        <v>2.314814814814815E-05</v>
      </c>
      <c r="K18" s="9">
        <v>8.101851851851852E-05</v>
      </c>
      <c r="L18" s="9">
        <v>6.944444444444444E-05</v>
      </c>
      <c r="M18" s="9">
        <v>0.0001967592592592593</v>
      </c>
      <c r="N18" s="9">
        <v>8.101851851851852E-05</v>
      </c>
      <c r="O18" s="9">
        <v>0.0001157407407407407</v>
      </c>
      <c r="P18" s="9">
        <v>1.157407407407407E-05</v>
      </c>
      <c r="Q18" s="9">
        <v>0.0002083333333333333</v>
      </c>
      <c r="R18" s="9">
        <v>2.314814814814815E-05</v>
      </c>
      <c r="S18" s="9">
        <v>5.787037037037037E-05</v>
      </c>
      <c r="T18" s="9">
        <v>0.0001273148148148148</v>
      </c>
      <c r="U18" s="9">
        <v>0.000150462962962963</v>
      </c>
      <c r="V18" s="9">
        <v>0.0003819444444444445</v>
      </c>
      <c r="W18" s="9">
        <v>0.0002546296296296296</v>
      </c>
      <c r="X18" s="9">
        <v>2.314814814814815E-05</v>
      </c>
      <c r="Y18" s="9">
        <v>6.944444444444444E-05</v>
      </c>
      <c r="Z18" s="9">
        <v>0.0002314814814814815</v>
      </c>
      <c r="AA18" s="9">
        <v>0.0003703703703703704</v>
      </c>
      <c r="AB18" s="9">
        <v>8.101851851851852E-05</v>
      </c>
      <c r="AC18" s="9" t="s">
        <v>224</v>
      </c>
      <c r="AD18" s="9" t="s">
        <v>224</v>
      </c>
      <c r="AE18" s="9" t="s">
        <v>224</v>
      </c>
      <c r="AF18" s="9" t="s">
        <v>224</v>
      </c>
      <c r="AG18" s="9" t="s">
        <v>224</v>
      </c>
      <c r="AH18" s="9" t="s">
        <v>224</v>
      </c>
      <c r="AI18" s="9" t="s">
        <v>224</v>
      </c>
      <c r="AJ18" s="9" t="s">
        <v>224</v>
      </c>
      <c r="AK18" s="9" t="s">
        <v>224</v>
      </c>
      <c r="AL18" s="9" t="s">
        <v>224</v>
      </c>
    </row>
    <row r="19" spans="1:38" ht="20" customHeight="1">
      <c r="A19" s="11">
        <v>18</v>
      </c>
      <c r="B19" s="12" t="s">
        <v>48</v>
      </c>
      <c r="C19" s="11" t="s">
        <v>13</v>
      </c>
      <c r="D19" s="11" t="s">
        <v>49</v>
      </c>
      <c r="E19" s="11" t="s">
        <v>50</v>
      </c>
      <c r="F19" s="13">
        <v>2.314814814814815E-05</v>
      </c>
      <c r="G19" s="13">
        <v>1.157407407407407E-05</v>
      </c>
      <c r="H19" s="13">
        <v>2.314814814814815E-05</v>
      </c>
      <c r="I19" s="13">
        <v>6.944444444444444E-05</v>
      </c>
      <c r="J19" s="13">
        <v>5.787037037037037E-05</v>
      </c>
      <c r="K19" s="13">
        <v>9.259259259259259E-05</v>
      </c>
      <c r="L19" s="13">
        <v>8.101851851851852E-05</v>
      </c>
      <c r="M19" s="13">
        <v>6.944444444444444E-05</v>
      </c>
      <c r="N19" s="13">
        <v>2.314814814814815E-05</v>
      </c>
      <c r="O19" s="13">
        <v>0.0001041666666666667</v>
      </c>
      <c r="P19" s="13">
        <v>6.944444444444444E-05</v>
      </c>
      <c r="Q19" s="13">
        <v>8.101851851851852E-05</v>
      </c>
      <c r="R19" s="13">
        <v>2.314814814814815E-05</v>
      </c>
      <c r="S19" s="13">
        <v>6.944444444444444E-05</v>
      </c>
      <c r="T19" s="13">
        <v>5.787037037037037E-05</v>
      </c>
      <c r="U19" s="13">
        <v>5.787037037037037E-05</v>
      </c>
      <c r="V19" s="13">
        <v>0.0001041666666666667</v>
      </c>
      <c r="W19" s="13">
        <v>5.787037037037037E-05</v>
      </c>
      <c r="X19" s="13">
        <v>0.0001273148148148148</v>
      </c>
      <c r="Y19" s="13">
        <v>5.787037037037037E-05</v>
      </c>
      <c r="Z19" s="13">
        <v>0.0001273148148148148</v>
      </c>
      <c r="AA19" s="13">
        <v>9.259259259259259E-05</v>
      </c>
      <c r="AB19" s="13">
        <v>0.0001041666666666667</v>
      </c>
      <c r="AC19" s="13" t="s">
        <v>224</v>
      </c>
      <c r="AD19" s="13" t="s">
        <v>224</v>
      </c>
      <c r="AE19" s="13" t="s">
        <v>224</v>
      </c>
      <c r="AF19" s="13" t="s">
        <v>224</v>
      </c>
      <c r="AG19" s="13" t="s">
        <v>224</v>
      </c>
      <c r="AH19" s="13" t="s">
        <v>224</v>
      </c>
      <c r="AI19" s="13" t="s">
        <v>224</v>
      </c>
      <c r="AJ19" s="13" t="s">
        <v>224</v>
      </c>
      <c r="AK19" s="13" t="s">
        <v>224</v>
      </c>
      <c r="AL19" s="13" t="s">
        <v>224</v>
      </c>
    </row>
    <row r="20" spans="1:38" ht="20" customHeight="1">
      <c r="A20" s="7">
        <v>19</v>
      </c>
      <c r="B20" s="8" t="s">
        <v>51</v>
      </c>
      <c r="C20" s="7" t="s">
        <v>13</v>
      </c>
      <c r="D20" s="7" t="s">
        <v>49</v>
      </c>
      <c r="E20" s="7" t="s">
        <v>52</v>
      </c>
      <c r="F20" s="9">
        <v>2.314814814814815E-05</v>
      </c>
      <c r="G20" s="9">
        <v>2.314814814814815E-05</v>
      </c>
      <c r="H20" s="9">
        <v>1.157407407407407E-05</v>
      </c>
      <c r="I20" s="9">
        <v>3.472222222222222E-05</v>
      </c>
      <c r="J20" s="9">
        <v>2.314814814814815E-05</v>
      </c>
      <c r="K20" s="9">
        <v>2.314814814814815E-05</v>
      </c>
      <c r="L20" s="9">
        <v>2.314814814814815E-05</v>
      </c>
      <c r="M20" s="9">
        <v>5.787037037037037E-05</v>
      </c>
      <c r="N20" s="9">
        <v>1.157407407407407E-05</v>
      </c>
      <c r="O20" s="9">
        <v>4.629629629629629E-05</v>
      </c>
      <c r="P20" s="9">
        <v>8.101851851851852E-05</v>
      </c>
      <c r="Q20" s="9">
        <v>3.472222222222222E-05</v>
      </c>
      <c r="R20" s="9">
        <v>2.314814814814815E-05</v>
      </c>
      <c r="S20" s="9">
        <v>5.787037037037037E-05</v>
      </c>
      <c r="T20" s="9">
        <v>5.787037037037037E-05</v>
      </c>
      <c r="U20" s="9">
        <v>1.157407407407407E-05</v>
      </c>
      <c r="V20" s="9">
        <v>6.944444444444444E-05</v>
      </c>
      <c r="W20" s="9">
        <v>2.314814814814815E-05</v>
      </c>
      <c r="X20" s="9">
        <v>9.259259259259259E-05</v>
      </c>
      <c r="Y20" s="9">
        <v>6.944444444444444E-05</v>
      </c>
      <c r="Z20" s="9">
        <v>4.629629629629629E-05</v>
      </c>
      <c r="AA20" s="9">
        <v>9.259259259259259E-05</v>
      </c>
      <c r="AB20" s="9">
        <v>1.157407407407407E-05</v>
      </c>
      <c r="AC20" s="9" t="s">
        <v>224</v>
      </c>
      <c r="AD20" s="9" t="s">
        <v>224</v>
      </c>
      <c r="AE20" s="9" t="s">
        <v>224</v>
      </c>
      <c r="AF20" s="9" t="s">
        <v>224</v>
      </c>
      <c r="AG20" s="9" t="s">
        <v>224</v>
      </c>
      <c r="AH20" s="9" t="s">
        <v>224</v>
      </c>
      <c r="AI20" s="9" t="s">
        <v>224</v>
      </c>
      <c r="AJ20" s="9" t="s">
        <v>224</v>
      </c>
      <c r="AK20" s="9" t="s">
        <v>224</v>
      </c>
      <c r="AL20" s="9" t="s">
        <v>224</v>
      </c>
    </row>
    <row r="21" spans="1:38" ht="20" customHeight="1">
      <c r="A21" s="11">
        <v>20</v>
      </c>
      <c r="B21" s="12" t="s">
        <v>53</v>
      </c>
      <c r="C21" s="11" t="s">
        <v>13</v>
      </c>
      <c r="D21" s="11" t="s">
        <v>49</v>
      </c>
      <c r="E21" s="11" t="s">
        <v>44</v>
      </c>
      <c r="F21" s="13">
        <v>2.314814814814815E-05</v>
      </c>
      <c r="G21" s="13">
        <v>3.472222222222222E-05</v>
      </c>
      <c r="H21" s="13">
        <v>1.157407407407407E-05</v>
      </c>
      <c r="I21" s="13">
        <v>4.629629629629629E-05</v>
      </c>
      <c r="J21" s="13">
        <v>1.157407407407407E-05</v>
      </c>
      <c r="K21" s="13">
        <v>1.157407407407407E-05</v>
      </c>
      <c r="L21" s="13">
        <v>2.314814814814815E-05</v>
      </c>
      <c r="M21" s="13">
        <v>6.944444444444444E-05</v>
      </c>
      <c r="N21" s="13">
        <v>5.787037037037037E-05</v>
      </c>
      <c r="O21" s="13">
        <v>0.0001273148148148148</v>
      </c>
      <c r="P21" s="13">
        <v>3.472222222222222E-05</v>
      </c>
      <c r="Q21" s="13">
        <v>9.259259259259259E-05</v>
      </c>
      <c r="R21" s="13">
        <v>2.314814814814815E-05</v>
      </c>
      <c r="S21" s="13">
        <v>8.101851851851852E-05</v>
      </c>
      <c r="T21" s="13">
        <v>3.472222222222222E-05</v>
      </c>
      <c r="U21" s="13">
        <v>2.314814814814815E-05</v>
      </c>
      <c r="V21" s="13">
        <v>5.787037037037037E-05</v>
      </c>
      <c r="W21" s="13">
        <v>3.472222222222222E-05</v>
      </c>
      <c r="X21" s="13">
        <v>4.629629629629629E-05</v>
      </c>
      <c r="Y21" s="13">
        <v>0.0001041666666666667</v>
      </c>
      <c r="Z21" s="13">
        <v>9.259259259259259E-05</v>
      </c>
      <c r="AA21" s="13">
        <v>0.0001273148148148148</v>
      </c>
      <c r="AB21" s="13">
        <v>8.101851851851852E-05</v>
      </c>
      <c r="AC21" s="13" t="s">
        <v>224</v>
      </c>
      <c r="AD21" s="13" t="s">
        <v>224</v>
      </c>
      <c r="AE21" s="13" t="s">
        <v>224</v>
      </c>
      <c r="AF21" s="13" t="s">
        <v>224</v>
      </c>
      <c r="AG21" s="13" t="s">
        <v>224</v>
      </c>
      <c r="AH21" s="13" t="s">
        <v>224</v>
      </c>
      <c r="AI21" s="13" t="s">
        <v>224</v>
      </c>
      <c r="AJ21" s="13" t="s">
        <v>224</v>
      </c>
      <c r="AK21" s="13" t="s">
        <v>224</v>
      </c>
      <c r="AL21" s="13" t="s">
        <v>224</v>
      </c>
    </row>
    <row r="22" spans="1:38">
      <c r="A22" s="16"/>
      <c r="B22" s="16"/>
      <c r="C22" s="16"/>
      <c r="D22" s="16" t="s">
        <v>111</v>
      </c>
      <c r="E22" s="16" t="s">
        <v>223</v>
      </c>
      <c r="F22" s="17">
        <v>0.0009490740740740741</v>
      </c>
      <c r="G22" s="17">
        <v>0.0009490740740740741</v>
      </c>
      <c r="H22" s="17">
        <v>0.001006944444444444</v>
      </c>
      <c r="I22" s="17">
        <v>0.001331018518518518</v>
      </c>
      <c r="J22" s="17">
        <v>0.001539351851851852</v>
      </c>
      <c r="K22" s="17">
        <v>0.001550925925925926</v>
      </c>
      <c r="L22" s="17">
        <v>0.001574074074074074</v>
      </c>
      <c r="M22" s="17">
        <v>0.001608796296296296</v>
      </c>
      <c r="N22" s="17">
        <v>0.00162037037037037</v>
      </c>
      <c r="O22" s="17">
        <v>0.001979166666666667</v>
      </c>
      <c r="P22" s="17">
        <v>0.002060185185185185</v>
      </c>
      <c r="Q22" s="17">
        <v>0.002060185185185185</v>
      </c>
      <c r="R22" s="17">
        <v>0.002083333333333333</v>
      </c>
      <c r="S22" s="17">
        <v>0.002141203703703704</v>
      </c>
      <c r="T22" s="17">
        <v>0.002361111111111111</v>
      </c>
      <c r="U22" s="17">
        <v>0.002523148148148148</v>
      </c>
      <c r="V22" s="17">
        <v>0.003043981481481481</v>
      </c>
      <c r="W22" s="17">
        <v>0.003055555555555556</v>
      </c>
      <c r="X22" s="17">
        <v>0.003206018518518519</v>
      </c>
      <c r="Y22" s="17">
        <v>0.004351851851851852</v>
      </c>
      <c r="Z22" s="17">
        <v>0.004479166666666667</v>
      </c>
      <c r="AA22" s="17">
        <v>0.004641203703703704</v>
      </c>
      <c r="AB22" s="17">
        <v>0.002673611111111111</v>
      </c>
      <c r="AC22" s="17">
        <v>0.001354166666666667</v>
      </c>
      <c r="AD22" s="17">
        <v>0.002094907407407407</v>
      </c>
      <c r="AE22" s="17">
        <v>0.002094907407407407</v>
      </c>
      <c r="AF22" s="17">
        <v>0.003229166666666667</v>
      </c>
      <c r="AG22" s="17">
        <v>0.002060185185185185</v>
      </c>
      <c r="AH22" s="17">
        <v>0.003321759259259259</v>
      </c>
      <c r="AI22" s="17">
        <v>0.0009375</v>
      </c>
      <c r="AJ22" s="17">
        <v>0.002881944444444444</v>
      </c>
      <c r="AK22" s="17">
        <v>0</v>
      </c>
      <c r="AL22" s="17">
        <v>0</v>
      </c>
    </row>
  </sheetData>
  <conditionalFormatting sqref="F1:AL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225</v>
      </c>
      <c r="B1" s="1" t="s">
        <v>226</v>
      </c>
    </row>
    <row r="2" spans="1:2" ht="20" customHeight="1">
      <c r="A2" s="7" t="s">
        <v>227</v>
      </c>
      <c r="B2" s="7" t="s">
        <v>129</v>
      </c>
    </row>
    <row r="3" spans="1:2" ht="20" customHeight="1">
      <c r="A3" s="11" t="s">
        <v>228</v>
      </c>
      <c r="B3" s="11" t="s">
        <v>229</v>
      </c>
    </row>
    <row r="4" spans="1:2" ht="20" customHeight="1">
      <c r="A4" s="7" t="s">
        <v>230</v>
      </c>
      <c r="B4" s="7">
        <v>32</v>
      </c>
    </row>
    <row r="5" spans="1:2" ht="20" customHeight="1">
      <c r="A5" s="11" t="s">
        <v>231</v>
      </c>
      <c r="B5" s="11">
        <v>33</v>
      </c>
    </row>
    <row r="6" spans="1:2" ht="20" customHeight="1">
      <c r="A6" s="7" t="s">
        <v>232</v>
      </c>
      <c r="B6" s="7" t="s">
        <v>111</v>
      </c>
    </row>
    <row r="7" spans="1:2" ht="20" customHeight="1">
      <c r="A7" s="11" t="s">
        <v>233</v>
      </c>
      <c r="B7" s="11" t="s">
        <v>234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2026-09-29T05:46:58Z</dcterms:created>
  <dcterms:modified xsi:type="dcterms:W3CDTF">2026-09-29T05:46:58Z</dcterms:modified>
</cp:coreProperties>
</file>